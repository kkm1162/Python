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165" yWindow="5115" windowWidth="38190" windowHeight="23445" tabRatio="600" firstSheet="0" activeTab="6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'PDSCH'!$A$1:$A$351</definedName>
    <definedName name="_xlnm._FilterDatabase" localSheetId="4" hidden="1">'PUSCH'!$A$1:$A$391</definedName>
    <definedName name="_xlnm._FilterDatabase" localSheetId="5" hidden="1">'PRACH'!$A$1:$A$295</definedName>
    <definedName name="_xlnm._FilterDatabase" localSheetId="6" hidden="1">'ACTIVE'!$A$1:$A$79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1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5"/>
  <sheetViews>
    <sheetView zoomScale="85" zoomScaleNormal="85" workbookViewId="0">
      <selection activeCell="D8" sqref="D8"/>
    </sheetView>
  </sheetViews>
  <sheetFormatPr baseColWidth="8" defaultRowHeight="13.5"/>
  <cols>
    <col width="10.5703125" customWidth="1" style="37" min="2" max="2"/>
    <col width="20.5703125" customWidth="1" style="10" min="3" max="16"/>
  </cols>
  <sheetData>
    <row r="1"/>
    <row r="2">
      <c r="B2" s="0" t="inlineStr">
        <is>
          <t>1. Cuplane-interface</t>
        </is>
      </c>
    </row>
    <row r="3"/>
    <row r="4">
      <c r="C4" s="11" t="inlineStr">
        <is>
          <t>name</t>
        </is>
      </c>
      <c r="D4" s="27" t="n">
        <v>1000</v>
      </c>
    </row>
    <row r="5">
      <c r="C5" s="11" t="inlineStr">
        <is>
          <t>Base-interface</t>
        </is>
      </c>
      <c r="D5" s="27" t="inlineStr">
        <is>
          <t>sys</t>
        </is>
      </c>
    </row>
    <row r="6">
      <c r="C6" s="11" t="inlineStr">
        <is>
          <t>vlan id</t>
        </is>
      </c>
      <c r="D6" s="27" t="n">
        <v>1000</v>
      </c>
    </row>
    <row r="7">
      <c r="C7" s="11" t="inlineStr">
        <is>
          <t>ORU mac-address</t>
        </is>
      </c>
      <c r="D7" s="27" t="inlineStr">
        <is>
          <t>00:0a:35:00:00:0a</t>
        </is>
      </c>
    </row>
    <row r="8"/>
    <row r="9"/>
    <row r="10">
      <c r="B10" s="0" t="inlineStr">
        <is>
          <t>2. Processing element</t>
        </is>
      </c>
    </row>
    <row r="11"/>
    <row r="12">
      <c r="C12" s="11" t="inlineStr">
        <is>
          <t>name</t>
        </is>
      </c>
      <c r="D12" s="27" t="inlineStr">
        <is>
          <t>ru-pe.0</t>
        </is>
      </c>
    </row>
    <row r="13">
      <c r="C13" s="11" t="inlineStr">
        <is>
          <t>ODU mac-address</t>
        </is>
      </c>
      <c r="D13" s="27" t="inlineStr">
        <is>
          <t>00:11:22:33:44:55</t>
        </is>
      </c>
    </row>
    <row r="14"/>
    <row r="15"/>
    <row r="16">
      <c r="B16" s="0" t="inlineStr">
        <is>
          <t>3. PDSCH</t>
        </is>
      </c>
    </row>
    <row r="17" ht="14.25" customHeight="1" s="37" thickBot="1"/>
    <row r="18">
      <c r="B18" s="38" t="n"/>
      <c r="C18" s="20" t="inlineStr">
        <is>
          <t>end-point</t>
        </is>
      </c>
      <c r="D18" s="21" t="n"/>
      <c r="E18" s="21" t="n"/>
      <c r="F18" s="22" t="n"/>
      <c r="G18" s="20" t="inlineStr">
        <is>
          <t>link</t>
        </is>
      </c>
      <c r="H18" s="21" t="n"/>
      <c r="I18" s="21" t="n"/>
      <c r="J18" s="22" t="n"/>
      <c r="K18" s="20" t="inlineStr">
        <is>
          <t>array-carrier</t>
        </is>
      </c>
      <c r="L18" s="21" t="n"/>
      <c r="M18" s="21" t="n"/>
      <c r="N18" s="21" t="n"/>
      <c r="O18" s="22" t="n"/>
      <c r="P18" s="0" t="n"/>
    </row>
    <row r="19">
      <c r="B19" s="39" t="n"/>
      <c r="C19" s="17" t="inlineStr">
        <is>
          <t>name</t>
        </is>
      </c>
      <c r="D19" s="25" t="inlineStr">
        <is>
          <t>scs</t>
        </is>
      </c>
      <c r="E19" s="18" t="inlineStr">
        <is>
          <t>number-of-prb</t>
        </is>
      </c>
      <c r="F19" s="19" t="inlineStr">
        <is>
          <t>eaxc-id</t>
        </is>
      </c>
      <c r="G19" s="17" t="inlineStr">
        <is>
          <t>name</t>
        </is>
      </c>
      <c r="H19" s="18" t="inlineStr">
        <is>
          <t>processing-element</t>
        </is>
      </c>
      <c r="I19" s="18" t="inlineStr">
        <is>
          <t>rx-array-carrier</t>
        </is>
      </c>
      <c r="J19" s="19" t="inlineStr">
        <is>
          <t>low-level-rx-endpoint</t>
        </is>
      </c>
      <c r="K19" s="17" t="inlineStr">
        <is>
          <t>name</t>
        </is>
      </c>
      <c r="L19" s="18" t="inlineStr">
        <is>
          <t>Center-FREQ</t>
        </is>
      </c>
      <c r="M19" s="18" t="inlineStr">
        <is>
          <t>Channel-BW</t>
        </is>
      </c>
      <c r="N19" s="18" t="inlineStr">
        <is>
          <t>type</t>
        </is>
      </c>
      <c r="O19" s="19" t="inlineStr">
        <is>
          <t>gain</t>
        </is>
      </c>
      <c r="P19" s="0" t="n"/>
    </row>
    <row r="20">
      <c r="A20" t="inlineStr">
        <is>
          <t>ON</t>
        </is>
      </c>
      <c r="B20" s="23" t="inlineStr">
        <is>
          <t>C0</t>
        </is>
      </c>
      <c r="C20" s="13" t="inlineStr">
        <is>
          <t>llte_0_0_0_1_0_0</t>
        </is>
      </c>
      <c r="D20" s="12" t="inlineStr">
        <is>
          <t>KHZ_15</t>
        </is>
      </c>
      <c r="E20" s="11" t="inlineStr">
        <is>
          <t>106</t>
        </is>
      </c>
      <c r="F20" s="14" t="inlineStr">
        <is>
          <t>2</t>
        </is>
      </c>
      <c r="G20" s="13" t="inlineStr">
        <is>
          <t>llte_0_0_0_1_0_0</t>
        </is>
      </c>
      <c r="H20" s="11" t="inlineStr">
        <is>
          <t>ru-pe.0</t>
        </is>
      </c>
      <c r="I20" s="11" t="inlineStr">
        <is>
          <t>tac_0_0_0_1</t>
        </is>
      </c>
      <c r="J20" s="14" t="inlineStr">
        <is>
          <t>llte_0_0_0_1_0_0</t>
        </is>
      </c>
      <c r="K20" s="13" t="inlineStr">
        <is>
          <t>tac_0_0_0_1</t>
        </is>
      </c>
      <c r="L20" s="11" t="inlineStr">
        <is>
          <t>3415</t>
        </is>
      </c>
      <c r="M20" s="11" t="inlineStr">
        <is>
          <t>10000000</t>
        </is>
      </c>
      <c r="N20" s="11" t="inlineStr">
        <is>
          <t>NR</t>
        </is>
      </c>
      <c r="O20" s="14" t="inlineStr">
        <is>
          <t>7</t>
        </is>
      </c>
      <c r="P20" s="0" t="n">
        <v>2</v>
      </c>
    </row>
    <row r="21">
      <c r="A21" t="inlineStr">
        <is>
          <t>ON</t>
        </is>
      </c>
      <c r="B21" s="23" t="inlineStr">
        <is>
          <t>C1</t>
        </is>
      </c>
      <c r="C21" s="13" t="inlineStr">
        <is>
          <t>llte_0_0_1_1_0_0</t>
        </is>
      </c>
      <c r="D21" s="12" t="inlineStr">
        <is>
          <t>KHZ_15</t>
        </is>
      </c>
      <c r="E21" s="11" t="inlineStr">
        <is>
          <t>106</t>
        </is>
      </c>
      <c r="F21" s="14" t="inlineStr">
        <is>
          <t>3</t>
        </is>
      </c>
      <c r="G21" s="13" t="inlineStr">
        <is>
          <t>llte_0_0_1_1_0_0</t>
        </is>
      </c>
      <c r="H21" s="11" t="inlineStr">
        <is>
          <t>ru-pe.0</t>
        </is>
      </c>
      <c r="I21" s="11" t="inlineStr">
        <is>
          <t>tac_0_0_1_1</t>
        </is>
      </c>
      <c r="J21" s="14" t="inlineStr">
        <is>
          <t>llte_0_0_1_1_0_0</t>
        </is>
      </c>
      <c r="K21" s="13" t="inlineStr">
        <is>
          <t>tac_0_0_1_1</t>
        </is>
      </c>
      <c r="L21" s="11" t="inlineStr">
        <is>
          <t>3445</t>
        </is>
      </c>
      <c r="M21" s="11" t="inlineStr">
        <is>
          <t>10000000</t>
        </is>
      </c>
      <c r="N21" s="11" t="inlineStr">
        <is>
          <t>NR</t>
        </is>
      </c>
      <c r="O21" s="14" t="inlineStr">
        <is>
          <t>7</t>
        </is>
      </c>
      <c r="P21" s="0" t="n">
        <v>3</v>
      </c>
    </row>
    <row r="22">
      <c r="A22" t="inlineStr">
        <is>
          <t>OFF</t>
        </is>
      </c>
      <c r="B22" s="23" t="inlineStr">
        <is>
          <t>C2</t>
        </is>
      </c>
      <c r="C22" s="13" t="inlineStr">
        <is>
          <t>llte_0_0_0_2_0_0</t>
        </is>
      </c>
      <c r="D22" s="12" t="inlineStr">
        <is>
          <t>KHZ_15</t>
        </is>
      </c>
      <c r="E22" s="11" t="inlineStr">
        <is>
          <t>106</t>
        </is>
      </c>
      <c r="F22" s="14" t="inlineStr">
        <is>
          <t>4</t>
        </is>
      </c>
      <c r="G22" s="13" t="inlineStr">
        <is>
          <t>llte_0_0_0_2_0_0</t>
        </is>
      </c>
      <c r="H22" s="11" t="inlineStr">
        <is>
          <t>ru-pe.0</t>
        </is>
      </c>
      <c r="I22" s="11" t="inlineStr">
        <is>
          <t>tac_0_0_0_2</t>
        </is>
      </c>
      <c r="J22" s="14" t="inlineStr">
        <is>
          <t>llte_0_0_0_2_0_0</t>
        </is>
      </c>
      <c r="K22" s="13" t="inlineStr">
        <is>
          <t>tac_0_0_0_2</t>
        </is>
      </c>
      <c r="L22" s="11" t="inlineStr">
        <is>
          <t>3415</t>
        </is>
      </c>
      <c r="M22" s="11" t="inlineStr">
        <is>
          <t>10000000</t>
        </is>
      </c>
      <c r="N22" s="11" t="inlineStr">
        <is>
          <t>NR</t>
        </is>
      </c>
      <c r="O22" s="14" t="inlineStr">
        <is>
          <t>7</t>
        </is>
      </c>
      <c r="P22" s="0" t="n">
        <v>4</v>
      </c>
    </row>
    <row r="23">
      <c r="A23" t="inlineStr">
        <is>
          <t>OFF</t>
        </is>
      </c>
      <c r="B23" s="23" t="inlineStr">
        <is>
          <t>C3</t>
        </is>
      </c>
      <c r="C23" s="13" t="inlineStr">
        <is>
          <t>llte_0_0_1_2_0_0</t>
        </is>
      </c>
      <c r="D23" s="12" t="inlineStr">
        <is>
          <t>KHZ_15</t>
        </is>
      </c>
      <c r="E23" s="11" t="inlineStr">
        <is>
          <t>106</t>
        </is>
      </c>
      <c r="F23" s="14" t="inlineStr">
        <is>
          <t>5</t>
        </is>
      </c>
      <c r="G23" s="13" t="inlineStr">
        <is>
          <t>llte_0_0_1_2_0_0</t>
        </is>
      </c>
      <c r="H23" s="11" t="inlineStr">
        <is>
          <t>ru-pe.0</t>
        </is>
      </c>
      <c r="I23" s="11" t="inlineStr">
        <is>
          <t>tac_0_0_1_2</t>
        </is>
      </c>
      <c r="J23" s="14" t="inlineStr">
        <is>
          <t>llte_0_0_1_2_0_0</t>
        </is>
      </c>
      <c r="K23" s="13" t="inlineStr">
        <is>
          <t>tac_0_0_1_2</t>
        </is>
      </c>
      <c r="L23" s="11" t="inlineStr">
        <is>
          <t>3445</t>
        </is>
      </c>
      <c r="M23" s="11" t="inlineStr">
        <is>
          <t>10000000</t>
        </is>
      </c>
      <c r="N23" s="11" t="inlineStr">
        <is>
          <t>NR</t>
        </is>
      </c>
      <c r="O23" s="14" t="inlineStr">
        <is>
          <t>7</t>
        </is>
      </c>
      <c r="P23" s="0" t="n">
        <v>5</v>
      </c>
    </row>
    <row r="24">
      <c r="A24" t="inlineStr">
        <is>
          <t>OFF</t>
        </is>
      </c>
      <c r="B24" s="23" t="inlineStr">
        <is>
          <t>C4</t>
        </is>
      </c>
      <c r="C24" s="13" t="inlineStr">
        <is>
          <t>llte_0_0_0_3_0_0</t>
        </is>
      </c>
      <c r="D24" s="12" t="inlineStr">
        <is>
          <t>KHZ_15</t>
        </is>
      </c>
      <c r="E24" s="11" t="inlineStr">
        <is>
          <t>106</t>
        </is>
      </c>
      <c r="F24" s="14" t="inlineStr">
        <is>
          <t>6</t>
        </is>
      </c>
      <c r="G24" s="13" t="inlineStr">
        <is>
          <t>llte_0_0_0_3_0_0</t>
        </is>
      </c>
      <c r="H24" s="11" t="inlineStr">
        <is>
          <t>ru-pe.0</t>
        </is>
      </c>
      <c r="I24" s="11" t="inlineStr">
        <is>
          <t>tac_0_0_0_3</t>
        </is>
      </c>
      <c r="J24" s="14" t="inlineStr">
        <is>
          <t>llte_0_0_0_3_0_0</t>
        </is>
      </c>
      <c r="K24" s="13" t="inlineStr">
        <is>
          <t>tac_0_0_0_3</t>
        </is>
      </c>
      <c r="L24" s="11" t="inlineStr">
        <is>
          <t>3415</t>
        </is>
      </c>
      <c r="M24" s="11" t="inlineStr">
        <is>
          <t>10000000</t>
        </is>
      </c>
      <c r="N24" s="11" t="inlineStr">
        <is>
          <t>NR</t>
        </is>
      </c>
      <c r="O24" s="14" t="inlineStr">
        <is>
          <t>7</t>
        </is>
      </c>
      <c r="P24" s="0" t="n">
        <v>6</v>
      </c>
    </row>
    <row r="25">
      <c r="A25" t="inlineStr">
        <is>
          <t>OFF</t>
        </is>
      </c>
      <c r="B25" s="23" t="inlineStr">
        <is>
          <t>C5</t>
        </is>
      </c>
      <c r="C25" s="13" t="inlineStr">
        <is>
          <t>llte_0_0_1_3_0_0</t>
        </is>
      </c>
      <c r="D25" s="12" t="inlineStr">
        <is>
          <t>KHZ_15</t>
        </is>
      </c>
      <c r="E25" s="11" t="inlineStr">
        <is>
          <t>106</t>
        </is>
      </c>
      <c r="F25" s="14" t="inlineStr">
        <is>
          <t>7</t>
        </is>
      </c>
      <c r="G25" s="13" t="inlineStr">
        <is>
          <t>llte_0_0_1_3_0_0</t>
        </is>
      </c>
      <c r="H25" s="11" t="inlineStr">
        <is>
          <t>ru-pe.0</t>
        </is>
      </c>
      <c r="I25" s="11" t="inlineStr">
        <is>
          <t>tac_0_0_1_3</t>
        </is>
      </c>
      <c r="J25" s="14" t="inlineStr">
        <is>
          <t>llte_0_0_1_3_0_0</t>
        </is>
      </c>
      <c r="K25" s="13" t="inlineStr">
        <is>
          <t>tac_0_0_1_3</t>
        </is>
      </c>
      <c r="L25" s="11" t="inlineStr">
        <is>
          <t>3445</t>
        </is>
      </c>
      <c r="M25" s="11" t="inlineStr">
        <is>
          <t>10000000</t>
        </is>
      </c>
      <c r="N25" s="11" t="inlineStr">
        <is>
          <t>NR</t>
        </is>
      </c>
      <c r="O25" s="14" t="inlineStr">
        <is>
          <t>7</t>
        </is>
      </c>
      <c r="P25" s="0" t="n">
        <v>7</v>
      </c>
    </row>
    <row r="26">
      <c r="A26" t="inlineStr">
        <is>
          <t>OFF</t>
        </is>
      </c>
      <c r="B26" s="23" t="inlineStr">
        <is>
          <t>C6</t>
        </is>
      </c>
      <c r="C26" s="13" t="inlineStr">
        <is>
          <t>llte_0_0_0_4_0_0</t>
        </is>
      </c>
      <c r="D26" s="12" t="inlineStr">
        <is>
          <t>KHZ_15</t>
        </is>
      </c>
      <c r="E26" s="11" t="inlineStr">
        <is>
          <t>106</t>
        </is>
      </c>
      <c r="F26" s="14" t="inlineStr">
        <is>
          <t>8</t>
        </is>
      </c>
      <c r="G26" s="13" t="inlineStr">
        <is>
          <t>llte_0_0_0_4_0_0</t>
        </is>
      </c>
      <c r="H26" s="11" t="inlineStr">
        <is>
          <t>ru-pe.0</t>
        </is>
      </c>
      <c r="I26" s="11" t="inlineStr">
        <is>
          <t>tac_0_0_0_4</t>
        </is>
      </c>
      <c r="J26" s="14" t="inlineStr">
        <is>
          <t>llte_0_0_0_4_0_0</t>
        </is>
      </c>
      <c r="K26" s="13" t="inlineStr">
        <is>
          <t>tac_0_0_0_4</t>
        </is>
      </c>
      <c r="L26" s="11" t="inlineStr">
        <is>
          <t>3415</t>
        </is>
      </c>
      <c r="M26" s="11" t="inlineStr">
        <is>
          <t>10000000</t>
        </is>
      </c>
      <c r="N26" s="11" t="inlineStr">
        <is>
          <t>NR</t>
        </is>
      </c>
      <c r="O26" s="14" t="inlineStr">
        <is>
          <t>7</t>
        </is>
      </c>
      <c r="P26" s="0" t="n">
        <v>8</v>
      </c>
    </row>
    <row r="27" ht="14.25" customHeight="1" s="37" thickBot="1">
      <c r="A27" t="inlineStr">
        <is>
          <t>OFF</t>
        </is>
      </c>
      <c r="B27" s="24" t="inlineStr">
        <is>
          <t>C7</t>
        </is>
      </c>
      <c r="C27" s="13" t="inlineStr">
        <is>
          <t>llte_0_0_1_4_0_0</t>
        </is>
      </c>
      <c r="D27" s="26" t="inlineStr">
        <is>
          <t>KHZ_15</t>
        </is>
      </c>
      <c r="E27" s="15" t="inlineStr">
        <is>
          <t>106</t>
        </is>
      </c>
      <c r="F27" s="16" t="inlineStr">
        <is>
          <t>9</t>
        </is>
      </c>
      <c r="G27" s="13" t="inlineStr">
        <is>
          <t>llte_0_0_1_4_0_0</t>
        </is>
      </c>
      <c r="H27" s="15" t="inlineStr">
        <is>
          <t>ru-pe.0</t>
        </is>
      </c>
      <c r="I27" s="15" t="inlineStr">
        <is>
          <t>tac_0_0_1_4</t>
        </is>
      </c>
      <c r="J27" s="16" t="inlineStr">
        <is>
          <t>llte_0_0_1_4_0_0</t>
        </is>
      </c>
      <c r="K27" s="13" t="inlineStr">
        <is>
          <t>tac_0_0_1_4</t>
        </is>
      </c>
      <c r="L27" s="11" t="inlineStr">
        <is>
          <t>3445</t>
        </is>
      </c>
      <c r="M27" s="11" t="inlineStr">
        <is>
          <t>10000000</t>
        </is>
      </c>
      <c r="N27" s="15" t="inlineStr">
        <is>
          <t>NR</t>
        </is>
      </c>
      <c r="O27" s="16" t="inlineStr">
        <is>
          <t>7</t>
        </is>
      </c>
      <c r="P27" s="0" t="n">
        <v>9</v>
      </c>
    </row>
    <row r="28">
      <c r="B28" s="10" t="n"/>
    </row>
    <row r="29"/>
    <row r="30">
      <c r="B30" s="0" t="inlineStr">
        <is>
          <t>4. PUSCH</t>
        </is>
      </c>
    </row>
    <row r="31" ht="14.25" customHeight="1" s="37" thickBot="1"/>
    <row r="32">
      <c r="B32" s="38" t="n"/>
      <c r="C32" s="20" t="inlineStr">
        <is>
          <t>end-point</t>
        </is>
      </c>
      <c r="D32" s="21" t="n"/>
      <c r="E32" s="21" t="n"/>
      <c r="F32" s="21" t="n"/>
      <c r="G32" s="22" t="n"/>
      <c r="H32" s="20" t="inlineStr">
        <is>
          <t>link</t>
        </is>
      </c>
      <c r="I32" s="21" t="n"/>
      <c r="J32" s="21" t="n"/>
      <c r="K32" s="22" t="n"/>
      <c r="L32" s="20" t="inlineStr">
        <is>
          <t>array-carrier</t>
        </is>
      </c>
      <c r="M32" s="21" t="n"/>
      <c r="N32" s="21" t="n"/>
      <c r="O32" s="21" t="n"/>
      <c r="P32" s="22" t="n"/>
    </row>
    <row r="33">
      <c r="B33" s="39" t="n"/>
      <c r="C33" s="17" t="inlineStr">
        <is>
          <t>name</t>
        </is>
      </c>
      <c r="D33" s="25" t="inlineStr">
        <is>
          <t>scs</t>
        </is>
      </c>
      <c r="E33" s="18" t="inlineStr">
        <is>
          <t>number-of-prb</t>
        </is>
      </c>
      <c r="F33" s="18" t="inlineStr">
        <is>
          <t>ul-fft-sampling-offset</t>
        </is>
      </c>
      <c r="G33" s="19" t="inlineStr">
        <is>
          <t>eaxc-id</t>
        </is>
      </c>
      <c r="H33" s="17" t="inlineStr">
        <is>
          <t>name</t>
        </is>
      </c>
      <c r="I33" s="18" t="inlineStr">
        <is>
          <t>processing-element</t>
        </is>
      </c>
      <c r="J33" s="18" t="inlineStr">
        <is>
          <t>rx-array-carrier</t>
        </is>
      </c>
      <c r="K33" s="19" t="inlineStr">
        <is>
          <t>low-level-rx-endpoint</t>
        </is>
      </c>
      <c r="L33" s="17" t="inlineStr">
        <is>
          <t>name</t>
        </is>
      </c>
      <c r="M33" s="18" t="inlineStr">
        <is>
          <t>Center-FREQ</t>
        </is>
      </c>
      <c r="N33" s="18" t="inlineStr">
        <is>
          <t>Channel-BW</t>
        </is>
      </c>
      <c r="O33" s="18" t="inlineStr">
        <is>
          <t>type</t>
        </is>
      </c>
      <c r="P33" s="19" t="inlineStr">
        <is>
          <t>n-ta-offset</t>
        </is>
      </c>
    </row>
    <row r="34">
      <c r="B34" s="23" t="inlineStr">
        <is>
          <t>C0</t>
        </is>
      </c>
      <c r="C34" s="13" t="inlineStr">
        <is>
          <t>llre_0_0_0_1_0_0</t>
        </is>
      </c>
      <c r="D34" s="12" t="inlineStr">
        <is>
          <t>KHZ_15</t>
        </is>
      </c>
      <c r="E34" s="11" t="inlineStr">
        <is>
          <t>106</t>
        </is>
      </c>
      <c r="F34" s="11" t="inlineStr">
        <is>
          <t>0</t>
        </is>
      </c>
      <c r="G34" s="14" t="inlineStr">
        <is>
          <t>18</t>
        </is>
      </c>
      <c r="H34" s="13" t="inlineStr">
        <is>
          <t>llre_0_0_0_1_0_0</t>
        </is>
      </c>
      <c r="I34" s="11" t="inlineStr">
        <is>
          <t>ru-pe.0</t>
        </is>
      </c>
      <c r="J34" s="13" t="inlineStr">
        <is>
          <t>rac_0_0_0_1</t>
        </is>
      </c>
      <c r="K34" s="14" t="inlineStr">
        <is>
          <t>llre_0_0_0_1_0_0</t>
        </is>
      </c>
      <c r="L34" s="13" t="inlineStr">
        <is>
          <t>rac_0_0_0_1</t>
        </is>
      </c>
      <c r="M34" s="11" t="inlineStr">
        <is>
          <t>3415</t>
        </is>
      </c>
      <c r="N34" s="11" t="inlineStr">
        <is>
          <t>10000000</t>
        </is>
      </c>
      <c r="O34" s="11" t="inlineStr">
        <is>
          <t>NR</t>
        </is>
      </c>
      <c r="P34" s="14" t="inlineStr">
        <is>
          <t>25600</t>
        </is>
      </c>
      <c r="Q34" s="0" t="n">
        <v>12</v>
      </c>
    </row>
    <row r="35">
      <c r="B35" s="23" t="inlineStr">
        <is>
          <t>C1</t>
        </is>
      </c>
      <c r="C35" s="13" t="inlineStr">
        <is>
          <t>llre_0_0_1_1_0_0</t>
        </is>
      </c>
      <c r="D35" s="12" t="inlineStr">
        <is>
          <t>KHZ_15</t>
        </is>
      </c>
      <c r="E35" s="11" t="inlineStr">
        <is>
          <t>106</t>
        </is>
      </c>
      <c r="F35" s="11" t="inlineStr">
        <is>
          <t>0</t>
        </is>
      </c>
      <c r="G35" s="14" t="inlineStr">
        <is>
          <t>19</t>
        </is>
      </c>
      <c r="H35" s="13" t="inlineStr">
        <is>
          <t>llre_0_0_1_1_0_0</t>
        </is>
      </c>
      <c r="I35" s="11" t="inlineStr">
        <is>
          <t>ru-pe.0</t>
        </is>
      </c>
      <c r="J35" s="13" t="inlineStr">
        <is>
          <t>rac_0_0_1_1</t>
        </is>
      </c>
      <c r="K35" s="14" t="inlineStr">
        <is>
          <t>llre_0_0_1_1_0_0</t>
        </is>
      </c>
      <c r="L35" s="13" t="inlineStr">
        <is>
          <t>rac_0_0_1_1</t>
        </is>
      </c>
      <c r="M35" s="11" t="inlineStr">
        <is>
          <t>3445</t>
        </is>
      </c>
      <c r="N35" s="11" t="inlineStr">
        <is>
          <t>10000000</t>
        </is>
      </c>
      <c r="O35" s="11" t="inlineStr">
        <is>
          <t>NR</t>
        </is>
      </c>
      <c r="P35" s="14" t="inlineStr">
        <is>
          <t>25600</t>
        </is>
      </c>
      <c r="Q35" s="0" t="n">
        <v>13</v>
      </c>
    </row>
    <row r="36">
      <c r="B36" s="23" t="inlineStr">
        <is>
          <t>C2</t>
        </is>
      </c>
      <c r="C36" s="13" t="inlineStr">
        <is>
          <t>llre_0_0_0_2_0_0</t>
        </is>
      </c>
      <c r="D36" s="12" t="inlineStr">
        <is>
          <t>KHZ_15</t>
        </is>
      </c>
      <c r="E36" s="11" t="inlineStr">
        <is>
          <t>106</t>
        </is>
      </c>
      <c r="F36" s="11" t="inlineStr">
        <is>
          <t>0</t>
        </is>
      </c>
      <c r="G36" s="14" t="inlineStr">
        <is>
          <t>20</t>
        </is>
      </c>
      <c r="H36" s="13" t="inlineStr">
        <is>
          <t>llre_0_0_0_2_0_0</t>
        </is>
      </c>
      <c r="I36" s="11" t="inlineStr">
        <is>
          <t>ru-pe.0</t>
        </is>
      </c>
      <c r="J36" s="13" t="inlineStr">
        <is>
          <t>rac_0_0_0_2</t>
        </is>
      </c>
      <c r="K36" s="14" t="inlineStr">
        <is>
          <t>llre_0_0_0_2_0_0</t>
        </is>
      </c>
      <c r="L36" s="13" t="inlineStr">
        <is>
          <t>rac_0_0_0_2</t>
        </is>
      </c>
      <c r="M36" s="11" t="inlineStr">
        <is>
          <t>3415</t>
        </is>
      </c>
      <c r="N36" s="11" t="inlineStr">
        <is>
          <t>10000000</t>
        </is>
      </c>
      <c r="O36" s="11" t="inlineStr">
        <is>
          <t>NR</t>
        </is>
      </c>
      <c r="P36" s="14" t="inlineStr">
        <is>
          <t>25600</t>
        </is>
      </c>
      <c r="Q36" s="0" t="n">
        <v>14</v>
      </c>
    </row>
    <row r="37">
      <c r="B37" s="23" t="inlineStr">
        <is>
          <t>C3</t>
        </is>
      </c>
      <c r="C37" s="13" t="inlineStr">
        <is>
          <t>llre_0_0_1_2_0_0</t>
        </is>
      </c>
      <c r="D37" s="12" t="inlineStr">
        <is>
          <t>KHZ_15</t>
        </is>
      </c>
      <c r="E37" s="11" t="inlineStr">
        <is>
          <t>106</t>
        </is>
      </c>
      <c r="F37" s="11" t="inlineStr">
        <is>
          <t>0</t>
        </is>
      </c>
      <c r="G37" s="14" t="inlineStr">
        <is>
          <t>21</t>
        </is>
      </c>
      <c r="H37" s="13" t="inlineStr">
        <is>
          <t>llre_0_0_1_2_0_0</t>
        </is>
      </c>
      <c r="I37" s="11" t="inlineStr">
        <is>
          <t>ru-pe.0</t>
        </is>
      </c>
      <c r="J37" s="13" t="inlineStr">
        <is>
          <t>rac_0_0_1_2</t>
        </is>
      </c>
      <c r="K37" s="14" t="inlineStr">
        <is>
          <t>llre_0_0_1_2_0_0</t>
        </is>
      </c>
      <c r="L37" s="13" t="inlineStr">
        <is>
          <t>rac_0_0_1_2</t>
        </is>
      </c>
      <c r="M37" s="11" t="inlineStr">
        <is>
          <t>3445</t>
        </is>
      </c>
      <c r="N37" s="11" t="inlineStr">
        <is>
          <t>10000000</t>
        </is>
      </c>
      <c r="O37" s="11" t="inlineStr">
        <is>
          <t>NR</t>
        </is>
      </c>
      <c r="P37" s="14" t="inlineStr">
        <is>
          <t>25600</t>
        </is>
      </c>
      <c r="Q37" s="0" t="n">
        <v>15</v>
      </c>
    </row>
    <row r="38">
      <c r="B38" s="23" t="inlineStr">
        <is>
          <t>C4</t>
        </is>
      </c>
      <c r="C38" s="13" t="inlineStr">
        <is>
          <t>llre_0_0_0_3_0_0</t>
        </is>
      </c>
      <c r="D38" s="12" t="inlineStr">
        <is>
          <t>KHZ_15</t>
        </is>
      </c>
      <c r="E38" s="11" t="inlineStr">
        <is>
          <t>106</t>
        </is>
      </c>
      <c r="F38" s="11" t="inlineStr">
        <is>
          <t>0</t>
        </is>
      </c>
      <c r="G38" s="14" t="inlineStr">
        <is>
          <t>22</t>
        </is>
      </c>
      <c r="H38" s="13" t="inlineStr">
        <is>
          <t>llre_0_0_0_3_0_0</t>
        </is>
      </c>
      <c r="I38" s="11" t="inlineStr">
        <is>
          <t>ru-pe.0</t>
        </is>
      </c>
      <c r="J38" s="13" t="inlineStr">
        <is>
          <t>rac_0_0_0_3</t>
        </is>
      </c>
      <c r="K38" s="14" t="inlineStr">
        <is>
          <t>llre_0_0_0_3_0_0</t>
        </is>
      </c>
      <c r="L38" s="13" t="inlineStr">
        <is>
          <t>rac_0_0_0_3</t>
        </is>
      </c>
      <c r="M38" s="11" t="inlineStr">
        <is>
          <t>3415</t>
        </is>
      </c>
      <c r="N38" s="11" t="inlineStr">
        <is>
          <t>10000000</t>
        </is>
      </c>
      <c r="O38" s="11" t="inlineStr">
        <is>
          <t>NR</t>
        </is>
      </c>
      <c r="P38" s="14" t="inlineStr">
        <is>
          <t>25600</t>
        </is>
      </c>
      <c r="Q38" s="0" t="n">
        <v>16</v>
      </c>
    </row>
    <row r="39">
      <c r="B39" s="23" t="inlineStr">
        <is>
          <t>C5</t>
        </is>
      </c>
      <c r="C39" s="13" t="inlineStr">
        <is>
          <t>llre_0_0_1_3_0_0</t>
        </is>
      </c>
      <c r="D39" s="12" t="inlineStr">
        <is>
          <t>KHZ_15</t>
        </is>
      </c>
      <c r="E39" s="11" t="inlineStr">
        <is>
          <t>106</t>
        </is>
      </c>
      <c r="F39" s="11" t="inlineStr">
        <is>
          <t>0</t>
        </is>
      </c>
      <c r="G39" s="14" t="inlineStr">
        <is>
          <t>23</t>
        </is>
      </c>
      <c r="H39" s="13" t="inlineStr">
        <is>
          <t>llre_0_0_1_3_0_0</t>
        </is>
      </c>
      <c r="I39" s="11" t="inlineStr">
        <is>
          <t>ru-pe.0</t>
        </is>
      </c>
      <c r="J39" s="13" t="inlineStr">
        <is>
          <t>rac_0_0_1_3</t>
        </is>
      </c>
      <c r="K39" s="14" t="inlineStr">
        <is>
          <t>llre_0_0_1_3_0_0</t>
        </is>
      </c>
      <c r="L39" s="13" t="inlineStr">
        <is>
          <t>rac_0_0_1_3</t>
        </is>
      </c>
      <c r="M39" s="11" t="inlineStr">
        <is>
          <t>3445</t>
        </is>
      </c>
      <c r="N39" s="11" t="inlineStr">
        <is>
          <t>10000000</t>
        </is>
      </c>
      <c r="O39" s="11" t="inlineStr">
        <is>
          <t>NR</t>
        </is>
      </c>
      <c r="P39" s="14" t="inlineStr">
        <is>
          <t>25600</t>
        </is>
      </c>
      <c r="Q39" s="0" t="n">
        <v>17</v>
      </c>
    </row>
    <row r="40">
      <c r="B40" s="23" t="inlineStr">
        <is>
          <t>C6</t>
        </is>
      </c>
      <c r="C40" s="13" t="inlineStr">
        <is>
          <t>llre_0_0_0_4_0_0</t>
        </is>
      </c>
      <c r="D40" s="12" t="inlineStr">
        <is>
          <t>KHZ_15</t>
        </is>
      </c>
      <c r="E40" s="11" t="inlineStr">
        <is>
          <t>106</t>
        </is>
      </c>
      <c r="F40" s="11" t="inlineStr">
        <is>
          <t>0</t>
        </is>
      </c>
      <c r="G40" s="14" t="inlineStr">
        <is>
          <t>24</t>
        </is>
      </c>
      <c r="H40" s="13" t="inlineStr">
        <is>
          <t>llre_0_0_0_4_0_0</t>
        </is>
      </c>
      <c r="I40" s="11" t="inlineStr">
        <is>
          <t>ru-pe.0</t>
        </is>
      </c>
      <c r="J40" s="13" t="inlineStr">
        <is>
          <t>rac_0_0_0_4</t>
        </is>
      </c>
      <c r="K40" s="14" t="inlineStr">
        <is>
          <t>llre_0_0_0_4_0_0</t>
        </is>
      </c>
      <c r="L40" s="13" t="inlineStr">
        <is>
          <t>rac_0_0_0_4</t>
        </is>
      </c>
      <c r="M40" s="11" t="inlineStr">
        <is>
          <t>3415</t>
        </is>
      </c>
      <c r="N40" s="11" t="inlineStr">
        <is>
          <t>10000000</t>
        </is>
      </c>
      <c r="O40" s="11" t="inlineStr">
        <is>
          <t>NR</t>
        </is>
      </c>
      <c r="P40" s="14" t="inlineStr">
        <is>
          <t>25600</t>
        </is>
      </c>
      <c r="Q40" s="0" t="n">
        <v>18</v>
      </c>
    </row>
    <row r="41" ht="14.25" customHeight="1" s="37" thickBot="1">
      <c r="B41" s="24" t="inlineStr">
        <is>
          <t>C7</t>
        </is>
      </c>
      <c r="C41" s="13" t="inlineStr">
        <is>
          <t>llre_0_0_1_4_0_0</t>
        </is>
      </c>
      <c r="D41" s="26" t="inlineStr">
        <is>
          <t>KHZ_15</t>
        </is>
      </c>
      <c r="E41" s="15" t="inlineStr">
        <is>
          <t>106</t>
        </is>
      </c>
      <c r="F41" s="15" t="inlineStr">
        <is>
          <t>0</t>
        </is>
      </c>
      <c r="G41" s="16" t="inlineStr">
        <is>
          <t>25</t>
        </is>
      </c>
      <c r="H41" s="13" t="inlineStr">
        <is>
          <t>llre_0_0_1_4_0_0</t>
        </is>
      </c>
      <c r="I41" s="15" t="inlineStr">
        <is>
          <t>ru-pe.0</t>
        </is>
      </c>
      <c r="J41" s="13" t="inlineStr">
        <is>
          <t>rac_0_0_1_4</t>
        </is>
      </c>
      <c r="K41" s="16" t="inlineStr">
        <is>
          <t>llre_0_0_1_4_0_0</t>
        </is>
      </c>
      <c r="L41" s="13" t="inlineStr">
        <is>
          <t>rac_0_0_1_4</t>
        </is>
      </c>
      <c r="M41" s="15" t="inlineStr">
        <is>
          <t>3445</t>
        </is>
      </c>
      <c r="N41" s="11" t="inlineStr">
        <is>
          <t>10000000</t>
        </is>
      </c>
      <c r="O41" s="15" t="inlineStr">
        <is>
          <t>NR</t>
        </is>
      </c>
      <c r="P41" s="16" t="inlineStr">
        <is>
          <t>25600</t>
        </is>
      </c>
      <c r="Q41" s="0" t="n">
        <v>19</v>
      </c>
    </row>
    <row r="42"/>
    <row r="43"/>
    <row r="44">
      <c r="B44" s="0" t="inlineStr">
        <is>
          <t>5. PRACH</t>
        </is>
      </c>
    </row>
    <row r="45" ht="14.25" customHeight="1" s="37" thickBot="1"/>
    <row r="46">
      <c r="B46" s="38" t="n"/>
      <c r="C46" s="20" t="inlineStr">
        <is>
          <t>end-point</t>
        </is>
      </c>
      <c r="D46" s="21" t="n"/>
      <c r="E46" s="21" t="n"/>
      <c r="F46" s="21" t="n"/>
      <c r="G46" s="22" t="n"/>
      <c r="H46" s="20" t="inlineStr">
        <is>
          <t>link</t>
        </is>
      </c>
      <c r="I46" s="21" t="n"/>
      <c r="J46" s="21" t="n"/>
      <c r="K46" s="22" t="n"/>
    </row>
    <row r="47">
      <c r="B47" s="39" t="n"/>
      <c r="C47" s="17" t="inlineStr">
        <is>
          <t>name</t>
        </is>
      </c>
      <c r="D47" s="25" t="inlineStr">
        <is>
          <t>scs</t>
        </is>
      </c>
      <c r="E47" s="18" t="inlineStr">
        <is>
          <t>number-of-prb</t>
        </is>
      </c>
      <c r="F47" s="18" t="inlineStr">
        <is>
          <t>ul-fft-sampling-offset</t>
        </is>
      </c>
      <c r="G47" s="19" t="inlineStr">
        <is>
          <t>eaxc-id</t>
        </is>
      </c>
      <c r="H47" s="17" t="inlineStr">
        <is>
          <t>name</t>
        </is>
      </c>
      <c r="I47" s="18" t="inlineStr">
        <is>
          <t>processing-element</t>
        </is>
      </c>
      <c r="J47" s="18" t="inlineStr">
        <is>
          <t>rx-array-carrier</t>
        </is>
      </c>
      <c r="K47" s="19" t="inlineStr">
        <is>
          <t>low-level-rx-endpoint</t>
        </is>
      </c>
    </row>
    <row r="48">
      <c r="B48" s="23" t="inlineStr">
        <is>
          <t>C0</t>
        </is>
      </c>
      <c r="C48" s="13" t="inlineStr">
        <is>
          <t>llre_0_0_0_1_0_0</t>
        </is>
      </c>
      <c r="D48" s="12" t="inlineStr">
        <is>
          <t>KHZ_15</t>
        </is>
      </c>
      <c r="E48" s="11" t="inlineStr">
        <is>
          <t>106</t>
        </is>
      </c>
      <c r="F48" s="11" t="inlineStr">
        <is>
          <t>0</t>
        </is>
      </c>
      <c r="G48" s="14" t="inlineStr">
        <is>
          <t>34</t>
        </is>
      </c>
      <c r="H48" s="13" t="inlineStr">
        <is>
          <t>llre_0_0_0_1_0_0</t>
        </is>
      </c>
      <c r="I48" s="11" t="inlineStr">
        <is>
          <t>ru-pe.0</t>
        </is>
      </c>
      <c r="J48" s="11" t="inlineStr">
        <is>
          <t>rac_0_0_0_1</t>
        </is>
      </c>
      <c r="K48" s="14" t="inlineStr">
        <is>
          <t>llre_0_0_0_1_0_0</t>
        </is>
      </c>
      <c r="L48" s="10" t="n">
        <v>22</v>
      </c>
    </row>
    <row r="49">
      <c r="B49" s="23" t="inlineStr">
        <is>
          <t>C1</t>
        </is>
      </c>
      <c r="C49" s="13" t="inlineStr">
        <is>
          <t>llre_0_0_1_1_1_0</t>
        </is>
      </c>
      <c r="D49" s="12" t="inlineStr">
        <is>
          <t>KHZ_15</t>
        </is>
      </c>
      <c r="E49" s="11" t="inlineStr">
        <is>
          <t>106</t>
        </is>
      </c>
      <c r="F49" s="11" t="inlineStr">
        <is>
          <t>0</t>
        </is>
      </c>
      <c r="G49" s="14" t="inlineStr">
        <is>
          <t>35</t>
        </is>
      </c>
      <c r="H49" s="13" t="inlineStr">
        <is>
          <t>llre_0_0_1_1_1_0</t>
        </is>
      </c>
      <c r="I49" s="11" t="inlineStr">
        <is>
          <t>ru-pe.0</t>
        </is>
      </c>
      <c r="J49" s="11" t="inlineStr">
        <is>
          <t>rac_0_0_1_1</t>
        </is>
      </c>
      <c r="K49" s="14" t="inlineStr">
        <is>
          <t>llre_0_0_1_1_1_0</t>
        </is>
      </c>
      <c r="L49" s="10" t="n">
        <v>23</v>
      </c>
    </row>
    <row r="50">
      <c r="B50" s="23" t="inlineStr">
        <is>
          <t>C2</t>
        </is>
      </c>
      <c r="C50" s="13" t="inlineStr">
        <is>
          <t>llre_0_0_0_2_0_0</t>
        </is>
      </c>
      <c r="D50" s="12" t="inlineStr">
        <is>
          <t>KHZ_15</t>
        </is>
      </c>
      <c r="E50" s="11" t="inlineStr">
        <is>
          <t>106</t>
        </is>
      </c>
      <c r="F50" s="11" t="inlineStr">
        <is>
          <t>0</t>
        </is>
      </c>
      <c r="G50" s="14" t="inlineStr">
        <is>
          <t>36</t>
        </is>
      </c>
      <c r="H50" s="13" t="inlineStr">
        <is>
          <t>llre_0_0_0_2_0_0</t>
        </is>
      </c>
      <c r="I50" s="11" t="inlineStr">
        <is>
          <t>ru-pe.0</t>
        </is>
      </c>
      <c r="J50" s="11" t="inlineStr">
        <is>
          <t>rac_0_0_0_2</t>
        </is>
      </c>
      <c r="K50" s="14" t="inlineStr">
        <is>
          <t>llre_0_0_0_2_0_0</t>
        </is>
      </c>
      <c r="L50" s="10" t="n">
        <v>24</v>
      </c>
    </row>
    <row r="51">
      <c r="B51" s="23" t="inlineStr">
        <is>
          <t>C3</t>
        </is>
      </c>
      <c r="C51" s="13" t="inlineStr">
        <is>
          <t>llre_0_0_1_2_1_0</t>
        </is>
      </c>
      <c r="D51" s="12" t="inlineStr">
        <is>
          <t>KHZ_15</t>
        </is>
      </c>
      <c r="E51" s="11" t="inlineStr">
        <is>
          <t>106</t>
        </is>
      </c>
      <c r="F51" s="11" t="inlineStr">
        <is>
          <t>0</t>
        </is>
      </c>
      <c r="G51" s="14" t="inlineStr">
        <is>
          <t>37</t>
        </is>
      </c>
      <c r="H51" s="13" t="inlineStr">
        <is>
          <t>llre_0_0_1_2_1_0</t>
        </is>
      </c>
      <c r="I51" s="11" t="inlineStr">
        <is>
          <t>ru-pe.0</t>
        </is>
      </c>
      <c r="J51" s="11" t="inlineStr">
        <is>
          <t>rac_0_0_1_2</t>
        </is>
      </c>
      <c r="K51" s="14" t="inlineStr">
        <is>
          <t>llre_0_0_1_2_1_0</t>
        </is>
      </c>
      <c r="L51" s="10" t="n">
        <v>25</v>
      </c>
    </row>
    <row r="52">
      <c r="B52" s="23" t="inlineStr">
        <is>
          <t>C4</t>
        </is>
      </c>
      <c r="C52" s="13" t="inlineStr">
        <is>
          <t>llre_0_0_0_3_0_0</t>
        </is>
      </c>
      <c r="D52" s="12" t="inlineStr">
        <is>
          <t>KHZ_15</t>
        </is>
      </c>
      <c r="E52" s="11" t="inlineStr">
        <is>
          <t>106</t>
        </is>
      </c>
      <c r="F52" s="11" t="inlineStr">
        <is>
          <t>0</t>
        </is>
      </c>
      <c r="G52" s="14" t="inlineStr">
        <is>
          <t>38</t>
        </is>
      </c>
      <c r="H52" s="13" t="inlineStr">
        <is>
          <t>llre_0_0_0_3_0_0</t>
        </is>
      </c>
      <c r="I52" s="11" t="inlineStr">
        <is>
          <t>ru-pe.0</t>
        </is>
      </c>
      <c r="J52" s="11" t="inlineStr">
        <is>
          <t>rac_0_0_0_3</t>
        </is>
      </c>
      <c r="K52" s="14" t="inlineStr">
        <is>
          <t>llre_0_0_0_3_0_0</t>
        </is>
      </c>
      <c r="L52" s="10" t="n">
        <v>26</v>
      </c>
    </row>
    <row r="53">
      <c r="B53" s="23" t="inlineStr">
        <is>
          <t>C5</t>
        </is>
      </c>
      <c r="C53" s="13" t="inlineStr">
        <is>
          <t>llre_0_0_1_3_1_0</t>
        </is>
      </c>
      <c r="D53" s="12" t="inlineStr">
        <is>
          <t>KHZ_15</t>
        </is>
      </c>
      <c r="E53" s="11" t="inlineStr">
        <is>
          <t>106</t>
        </is>
      </c>
      <c r="F53" s="11" t="inlineStr">
        <is>
          <t>0</t>
        </is>
      </c>
      <c r="G53" s="14" t="inlineStr">
        <is>
          <t>39</t>
        </is>
      </c>
      <c r="H53" s="13" t="inlineStr">
        <is>
          <t>llre_0_0_1_3_1_0</t>
        </is>
      </c>
      <c r="I53" s="11" t="inlineStr">
        <is>
          <t>ru-pe.0</t>
        </is>
      </c>
      <c r="J53" s="11" t="inlineStr">
        <is>
          <t>rac_0_0_1_3</t>
        </is>
      </c>
      <c r="K53" s="14" t="inlineStr">
        <is>
          <t>llre_0_0_1_3_1_0</t>
        </is>
      </c>
      <c r="L53" s="10" t="n">
        <v>27</v>
      </c>
    </row>
    <row r="54">
      <c r="B54" s="23" t="inlineStr">
        <is>
          <t>C6</t>
        </is>
      </c>
      <c r="C54" s="13" t="inlineStr">
        <is>
          <t>llre_0_0_0_4_0_0</t>
        </is>
      </c>
      <c r="D54" s="12" t="inlineStr">
        <is>
          <t>KHZ_15</t>
        </is>
      </c>
      <c r="E54" s="11" t="inlineStr">
        <is>
          <t>106</t>
        </is>
      </c>
      <c r="F54" s="11" t="inlineStr">
        <is>
          <t>0</t>
        </is>
      </c>
      <c r="G54" s="14" t="inlineStr">
        <is>
          <t>40</t>
        </is>
      </c>
      <c r="H54" s="13" t="inlineStr">
        <is>
          <t>llre_0_0_0_4_0_0</t>
        </is>
      </c>
      <c r="I54" s="11" t="inlineStr">
        <is>
          <t>ru-pe.0</t>
        </is>
      </c>
      <c r="J54" s="11" t="inlineStr">
        <is>
          <t>rac_0_0_0_4</t>
        </is>
      </c>
      <c r="K54" s="14" t="inlineStr">
        <is>
          <t>llre_0_0_0_4_0_0</t>
        </is>
      </c>
      <c r="L54" s="10" t="n">
        <v>28</v>
      </c>
    </row>
    <row r="55" ht="14.25" customHeight="1" s="37" thickBot="1">
      <c r="B55" s="24" t="inlineStr">
        <is>
          <t>C7</t>
        </is>
      </c>
      <c r="C55" s="13" t="inlineStr">
        <is>
          <t>llre_0_0_1_4_1_0</t>
        </is>
      </c>
      <c r="D55" s="26" t="inlineStr">
        <is>
          <t>KHZ_15</t>
        </is>
      </c>
      <c r="E55" s="15" t="inlineStr">
        <is>
          <t>106</t>
        </is>
      </c>
      <c r="F55" s="15" t="inlineStr">
        <is>
          <t>0</t>
        </is>
      </c>
      <c r="G55" s="16" t="inlineStr">
        <is>
          <t>41</t>
        </is>
      </c>
      <c r="H55" s="13" t="inlineStr">
        <is>
          <t>llre_0_0_1_4_1_0</t>
        </is>
      </c>
      <c r="I55" s="15" t="inlineStr">
        <is>
          <t>ru-pe.0</t>
        </is>
      </c>
      <c r="J55" s="15" t="inlineStr">
        <is>
          <t>rac_0_0_1_4</t>
        </is>
      </c>
      <c r="K55" s="16" t="inlineStr">
        <is>
          <t>llre_0_0_1_4_1_0</t>
        </is>
      </c>
      <c r="L55" s="10" t="n">
        <v>29</v>
      </c>
    </row>
  </sheetData>
  <mergeCells count="3">
    <mergeCell ref="B18:B19"/>
    <mergeCell ref="B46:B47"/>
    <mergeCell ref="B32:B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25" sqref="A1:A25"/>
    </sheetView>
  </sheetViews>
  <sheetFormatPr baseColWidth="8" defaultRowHeight="13.5"/>
  <cols>
    <col width="93.7109375" bestFit="1" customWidth="1" style="37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&lt;name&gt;"&amp;'Control-Sheet'!D4&amp;"&lt;/name&gt;"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xmlns="&amp;CHAR(34)&amp;"urn:o-ran:interfaces:1.0"&amp;CHAR(34)&amp;"&gt;"&amp;'Control-Sheet'!D5&amp;"&lt;/base-interface&gt;"</f>
        <v/>
      </c>
    </row>
    <row r="14">
      <c r="A14" s="4">
        <f>"          &lt;vlan-id xmlns="&amp;CHAR(34)&amp;"urn:o-ran:interfaces:1.0"&amp;CHAR(34)&amp;"&gt;"&amp;'Control-Sheet'!D6&amp;"&lt;/vlan-id&gt;"</f>
        <v/>
      </c>
    </row>
    <row r="15">
      <c r="A15" s="4">
        <f>"          &lt;mac-address xmlns="&amp;CHAR(34)&amp;"urn:o-ran:interfaces:1.0"&amp;CHAR(34)&amp;"&gt;"&amp;'Control-Sheet'!D7&amp;"&lt;/mac-address&gt;"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25" sqref="A1:A25"/>
    </sheetView>
  </sheetViews>
  <sheetFormatPr baseColWidth="8" defaultRowHeight="13.5"/>
  <cols>
    <col width="66.7109375" bestFit="1" customWidth="1" style="37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&lt;name&gt;"&amp;'Control-Sheet'!D12&amp;"&lt;/name&gt;"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&lt;interface-name&gt;"&amp;'Control-Sheet'!D4&amp;"&lt;/interface-name&gt;"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&lt;ru-mac-address&gt;"&amp;'Control-Sheet'!D7&amp;"&lt;/ru-mac-address&gt;"</f>
        <v/>
      </c>
    </row>
    <row r="17">
      <c r="A17" s="4">
        <f>"              &lt;vlan-id&gt;"&amp;'Control-Sheet'!D6&amp;"&lt;/vlan-id&gt;"</f>
        <v/>
      </c>
    </row>
    <row r="18">
      <c r="A18" s="4">
        <f>"              &lt;o-du-mac-address&gt;"&amp;'Control-Sheet'!D13&amp;"&lt;/o-du-mac-address&gt;"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1"/>
  <sheetViews>
    <sheetView topLeftCell="A82" workbookViewId="0">
      <selection activeCell="B138" sqref="B138"/>
    </sheetView>
  </sheetViews>
  <sheetFormatPr baseColWidth="8" defaultRowHeight="13.5"/>
  <cols>
    <col width="82.28515625" bestFit="1" customWidth="1" style="37" min="1" max="1"/>
    <col width="79" bestFit="1" customWidth="1" style="37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&lt;name&gt;"&amp;'Control-Sheet'!$C20&amp;"&lt;/name&gt;"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6" t="inlineStr">
        <is>
          <t xml:space="preserve">            &lt;iq-bitwidth&gt;16&lt;/iq-bitwidth&gt;</t>
        </is>
      </c>
    </row>
    <row r="17">
      <c r="A17" s="6" t="inlineStr">
        <is>
          <t xml:space="preserve">          &lt;/compression&gt;</t>
        </is>
      </c>
    </row>
    <row r="18">
      <c r="A18" s="6" t="inlineStr">
        <is>
          <t xml:space="preserve">          &lt;frame-structure&gt;160&lt;/frame-structure&gt;</t>
        </is>
      </c>
    </row>
    <row r="19">
      <c r="A19" s="6" t="inlineStr">
        <is>
          <t xml:space="preserve">          &lt;cp-type&gt;NORMAL&lt;/cp-type&gt;</t>
        </is>
      </c>
    </row>
    <row r="20">
      <c r="A20" s="6" t="inlineStr">
        <is>
          <t xml:space="preserve">          &lt;cp-length&gt;160&lt;/cp-length&gt;</t>
        </is>
      </c>
    </row>
    <row r="21">
      <c r="A21" s="6" t="inlineStr">
        <is>
          <t xml:space="preserve">          &lt;cp-length-other&gt;144&lt;/cp-length-other&gt;</t>
        </is>
      </c>
    </row>
    <row r="22">
      <c r="A22" s="9" t="inlineStr">
        <is>
          <t xml:space="preserve">          &lt;offset-to-absolute-frequency-center&gt;0&lt;/offset-to-absolute-frequency-center&gt;</t>
        </is>
      </c>
    </row>
    <row r="23">
      <c r="A23" s="6" t="inlineStr">
        <is>
          <t xml:space="preserve">          &lt;number-of-prb-per-scs&gt;</t>
        </is>
      </c>
    </row>
    <row r="24">
      <c r="A24" s="7">
        <f>"            &lt;scs&gt;"&amp;'Control-Sheet'!$D20&amp;"&lt;/scs&gt;"</f>
        <v/>
      </c>
    </row>
    <row r="25">
      <c r="A25" s="8">
        <f>"            &lt;number-of-prb&gt;"&amp;'Control-Sheet'!$E20&amp;"&lt;/number-of-prb&gt;"</f>
        <v/>
      </c>
    </row>
    <row r="26">
      <c r="A26" s="6" t="inlineStr">
        <is>
          <t xml:space="preserve">          &lt;/number-of-prb-per-scs&gt;</t>
        </is>
      </c>
    </row>
    <row r="27">
      <c r="A27" s="6" t="inlineStr">
        <is>
          <t xml:space="preserve">          &lt;e-axcid&gt;</t>
        </is>
      </c>
    </row>
    <row r="28">
      <c r="A28" s="6" t="inlineStr">
        <is>
          <t xml:space="preserve">            &lt;o-du-port-bitmask&gt;49152&lt;/o-du-port-bitmask&gt;</t>
        </is>
      </c>
    </row>
    <row r="29">
      <c r="A29" s="6" t="inlineStr">
        <is>
          <t xml:space="preserve">            &lt;band-sector-bitmask&gt;12288&lt;/band-sector-bitmask&gt;</t>
        </is>
      </c>
    </row>
    <row r="30">
      <c r="A30" s="6" t="inlineStr">
        <is>
          <t xml:space="preserve">            &lt;ccid-bitmask&gt;3840&lt;/ccid-bitmask&gt;</t>
        </is>
      </c>
    </row>
    <row r="31">
      <c r="A31" s="6" t="inlineStr">
        <is>
          <t xml:space="preserve">            &lt;ru-port-bitmask&gt;255&lt;/ru-port-bitmask&gt;</t>
        </is>
      </c>
    </row>
    <row r="32">
      <c r="A32" s="7">
        <f>"            &lt;eaxc-id&gt;"&amp;'Control-Sheet'!$F20&amp;"&lt;/eaxc-id&gt;"</f>
        <v/>
      </c>
    </row>
    <row r="33">
      <c r="A33" s="6" t="inlineStr">
        <is>
          <t xml:space="preserve">          &lt;/e-axcid&gt;</t>
        </is>
      </c>
    </row>
    <row r="34">
      <c r="A34" s="6" t="inlineStr">
        <is>
          <t xml:space="preserve">        &lt;/low-level-tx-endpoints&gt;</t>
        </is>
      </c>
    </row>
    <row r="35">
      <c r="A35" s="5" t="inlineStr">
        <is>
          <t xml:space="preserve">        &lt;tx-array-carriers&gt;</t>
        </is>
      </c>
    </row>
    <row r="36">
      <c r="A36" s="29">
        <f>"          &lt;name&gt;"&amp;'Control-Sheet'!$K20&amp;"&lt;/name&gt;"</f>
        <v/>
      </c>
    </row>
    <row r="37">
      <c r="A37" s="5" t="inlineStr">
        <is>
          <t xml:space="preserve">          &lt;absolute-frequency-center&gt;0&lt;/absolute-frequency-center&gt;</t>
        </is>
      </c>
    </row>
    <row r="38">
      <c r="A38" s="30">
        <f>"          &lt;center-of-channel-bandwidth&gt;"&amp;'Control-Sheet'!$L20*10^6&amp;"&lt;/center-of-channel-bandwidth&gt;"</f>
        <v/>
      </c>
    </row>
    <row r="39">
      <c r="A39" s="30">
        <f>"          &lt;channel-bandwidth&gt;"&amp;'Control-Sheet'!$M20*10^6&amp;"&lt;/channel-bandwidth&gt;"</f>
        <v/>
      </c>
    </row>
    <row r="40">
      <c r="A40" s="5" t="inlineStr">
        <is>
          <t xml:space="preserve">          &lt;active&gt;INACTIVE&lt;/active&gt;</t>
        </is>
      </c>
    </row>
    <row r="41">
      <c r="A41" s="30">
        <f>"          &lt;type&gt;"&amp;'Control-Sheet'!$N20&amp;"&lt;/type&gt;"</f>
        <v/>
      </c>
    </row>
    <row r="42">
      <c r="A42" s="5" t="inlineStr">
        <is>
          <t xml:space="preserve">          &lt;downlink-radio-frame-offset&gt;0&lt;/downlink-radio-frame-offset&gt;</t>
        </is>
      </c>
    </row>
    <row r="43">
      <c r="A43" s="5" t="inlineStr">
        <is>
          <t xml:space="preserve">          &lt;downlink-sfn-offset&gt;0&lt;/downlink-sfn-offset&gt;</t>
        </is>
      </c>
    </row>
    <row r="44">
      <c r="A44" s="30">
        <f>"          &lt;gain&gt;"&amp;'Control-Sheet'!$O20&amp;"&lt;/gain&gt;"</f>
        <v/>
      </c>
    </row>
    <row r="45">
      <c r="A45" s="5" t="inlineStr">
        <is>
          <t xml:space="preserve">        &lt;/tx-array-carriers&gt;</t>
        </is>
      </c>
    </row>
    <row r="46">
      <c r="A46" s="28" t="inlineStr">
        <is>
          <t xml:space="preserve">        &lt;low-level-tx-links&gt;</t>
        </is>
      </c>
    </row>
    <row r="47">
      <c r="A47" s="31">
        <f>"          &lt;name&gt;"&amp;'Control-Sheet'!$G20&amp;"&lt;/name&gt;"</f>
        <v/>
      </c>
    </row>
    <row r="48">
      <c r="A48" s="32">
        <f>"          &lt;processing-element&gt;"&amp;'Control-Sheet'!$H20&amp;"&lt;/processing-element&gt;"</f>
        <v/>
      </c>
    </row>
    <row r="49">
      <c r="A49" s="32">
        <f>"          &lt;tx-array-carrier&gt;"&amp;'Control-Sheet'!$I20&amp;"&lt;/tx-array-carrier&gt;"</f>
        <v/>
      </c>
    </row>
    <row r="50">
      <c r="A50" s="32">
        <f>"          &lt;low-level-tx-endpoint&gt;"&amp;'Control-Sheet'!$J20&amp;"&lt;/low-level-tx-endpoint&gt;"</f>
        <v/>
      </c>
    </row>
    <row r="51">
      <c r="A51" s="28" t="inlineStr">
        <is>
          <t xml:space="preserve">        &lt;/low-level-tx-links&gt;</t>
        </is>
      </c>
    </row>
    <row r="54">
      <c r="A54" s="6" t="inlineStr">
        <is>
          <t xml:space="preserve">        &lt;low-level-tx-endpoints&gt;</t>
        </is>
      </c>
    </row>
    <row r="55">
      <c r="A55" s="7">
        <f>"          &lt;name&gt;"&amp;'Control-Sheet'!$C21&amp;"&lt;/name&gt;"</f>
        <v/>
      </c>
    </row>
    <row r="56">
      <c r="A56" s="6" t="inlineStr">
        <is>
          <t xml:space="preserve">          &lt;compression&gt;</t>
        </is>
      </c>
    </row>
    <row r="57">
      <c r="A57" s="6" t="inlineStr">
        <is>
          <t xml:space="preserve">            &lt;compression-type&gt;STATIC&lt;/compression-type&gt;</t>
        </is>
      </c>
    </row>
    <row r="58">
      <c r="A58" s="6" t="inlineStr">
        <is>
          <t xml:space="preserve">            &lt;iq-bitwidth&gt;16&lt;/iq-bitwidth&gt;</t>
        </is>
      </c>
    </row>
    <row r="59">
      <c r="A59" s="6" t="inlineStr">
        <is>
          <t xml:space="preserve">          &lt;/compression&gt;</t>
        </is>
      </c>
    </row>
    <row r="60">
      <c r="A60" s="6" t="inlineStr">
        <is>
          <t xml:space="preserve">          &lt;frame-structure&gt;160&lt;/frame-structure&gt;</t>
        </is>
      </c>
    </row>
    <row r="61">
      <c r="A61" s="6" t="inlineStr">
        <is>
          <t xml:space="preserve">          &lt;cp-type&gt;NORMAL&lt;/cp-type&gt;</t>
        </is>
      </c>
    </row>
    <row r="62">
      <c r="A62" s="6" t="inlineStr">
        <is>
          <t xml:space="preserve">          &lt;cp-length&gt;160&lt;/cp-length&gt;</t>
        </is>
      </c>
    </row>
    <row r="63">
      <c r="A63" s="6" t="inlineStr">
        <is>
          <t xml:space="preserve">          &lt;cp-length-other&gt;144&lt;/cp-length-other&gt;</t>
        </is>
      </c>
    </row>
    <row r="64">
      <c r="A64" s="9" t="inlineStr">
        <is>
          <t xml:space="preserve">          &lt;offset-to-absolute-frequency-center&gt;0&lt;/offset-to-absolute-frequency-center&gt;</t>
        </is>
      </c>
    </row>
    <row r="65">
      <c r="A65" s="6" t="inlineStr">
        <is>
          <t xml:space="preserve">          &lt;number-of-prb-per-scs&gt;</t>
        </is>
      </c>
    </row>
    <row r="66">
      <c r="A66" s="7">
        <f>"            &lt;scs&gt;"&amp;'Control-Sheet'!$D21&amp;"&lt;/scs&gt;"</f>
        <v/>
      </c>
    </row>
    <row r="67">
      <c r="A67" s="8">
        <f>"            &lt;number-of-prb&gt;"&amp;'Control-Sheet'!$E21&amp;"&lt;/number-of-prb&gt;"</f>
        <v/>
      </c>
    </row>
    <row r="68">
      <c r="A68" s="6" t="inlineStr">
        <is>
          <t xml:space="preserve">          &lt;/number-of-prb-per-scs&gt;</t>
        </is>
      </c>
    </row>
    <row r="69">
      <c r="A69" s="6" t="inlineStr">
        <is>
          <t xml:space="preserve">          &lt;e-axcid&gt;</t>
        </is>
      </c>
    </row>
    <row r="70">
      <c r="A70" s="6" t="inlineStr">
        <is>
          <t xml:space="preserve">            &lt;o-du-port-bitmask&gt;49152&lt;/o-du-port-bitmask&gt;</t>
        </is>
      </c>
    </row>
    <row r="71">
      <c r="A71" s="6" t="inlineStr">
        <is>
          <t xml:space="preserve">            &lt;band-sector-bitmask&gt;12288&lt;/band-sector-bitmask&gt;</t>
        </is>
      </c>
    </row>
    <row r="72">
      <c r="A72" s="6" t="inlineStr">
        <is>
          <t xml:space="preserve">            &lt;ccid-bitmask&gt;3840&lt;/ccid-bitmask&gt;</t>
        </is>
      </c>
    </row>
    <row r="73">
      <c r="A73" s="6" t="inlineStr">
        <is>
          <t xml:space="preserve">            &lt;ru-port-bitmask&gt;255&lt;/ru-port-bitmask&gt;</t>
        </is>
      </c>
    </row>
    <row r="74">
      <c r="A74" s="7">
        <f>"            &lt;eaxc-id&gt;"&amp;'Control-Sheet'!$F21&amp;"&lt;/eaxc-id&gt;"</f>
        <v/>
      </c>
    </row>
    <row r="75">
      <c r="A75" s="6" t="inlineStr">
        <is>
          <t xml:space="preserve">          &lt;/e-axcid&gt;</t>
        </is>
      </c>
    </row>
    <row r="76">
      <c r="A76" s="6" t="inlineStr">
        <is>
          <t xml:space="preserve">        &lt;/low-level-tx-endpoints&gt;</t>
        </is>
      </c>
    </row>
    <row r="77">
      <c r="A77" s="5" t="inlineStr">
        <is>
          <t xml:space="preserve">        &lt;tx-array-carriers&gt;</t>
        </is>
      </c>
    </row>
    <row r="78">
      <c r="A78" s="29">
        <f>"          &lt;name&gt;"&amp;'Control-Sheet'!$K21&amp;"&lt;/name&gt;"</f>
        <v/>
      </c>
    </row>
    <row r="79">
      <c r="A79" s="5" t="inlineStr">
        <is>
          <t xml:space="preserve">          &lt;absolute-frequency-center&gt;0&lt;/absolute-frequency-center&gt;</t>
        </is>
      </c>
    </row>
    <row r="80">
      <c r="A80" s="30">
        <f>"          &lt;center-of-channel-bandwidth&gt;"&amp;'Control-Sheet'!$L21*10^6&amp;"&lt;/center-of-channel-bandwidth&gt;"</f>
        <v/>
      </c>
    </row>
    <row r="81">
      <c r="A81" s="30">
        <f>"          &lt;channel-bandwidth&gt;"&amp;'Control-Sheet'!$M21*10^6&amp;"&lt;/channel-bandwidth&gt;"</f>
        <v/>
      </c>
    </row>
    <row r="82">
      <c r="A82" s="5" t="inlineStr">
        <is>
          <t xml:space="preserve">          &lt;active&gt;INACTIVE&lt;/active&gt;</t>
        </is>
      </c>
    </row>
    <row r="83">
      <c r="A83" s="30">
        <f>"          &lt;type&gt;"&amp;'Control-Sheet'!$N21&amp;"&lt;/type&gt;"</f>
        <v/>
      </c>
    </row>
    <row r="84">
      <c r="A84" s="5" t="inlineStr">
        <is>
          <t xml:space="preserve">          &lt;downlink-radio-frame-offset&gt;0&lt;/downlink-radio-frame-offset&gt;</t>
        </is>
      </c>
    </row>
    <row r="85">
      <c r="A85" s="5" t="inlineStr">
        <is>
          <t xml:space="preserve">          &lt;downlink-sfn-offset&gt;0&lt;/downlink-sfn-offset&gt;</t>
        </is>
      </c>
    </row>
    <row r="86">
      <c r="A86" s="30">
        <f>"          &lt;gain&gt;"&amp;'Control-Sheet'!$O21&amp;"&lt;/gain&gt;"</f>
        <v/>
      </c>
    </row>
    <row r="87">
      <c r="A87" s="5" t="inlineStr">
        <is>
          <t xml:space="preserve">        &lt;/tx-array-carriers&gt;</t>
        </is>
      </c>
    </row>
    <row r="88">
      <c r="A88" s="28" t="inlineStr">
        <is>
          <t xml:space="preserve">        &lt;low-level-tx-links&gt;</t>
        </is>
      </c>
    </row>
    <row r="89">
      <c r="A89" s="31">
        <f>"          &lt;name&gt;"&amp;'Control-Sheet'!$G21&amp;"&lt;/name&gt;"</f>
        <v/>
      </c>
    </row>
    <row r="90">
      <c r="A90" s="32">
        <f>"          &lt;processing-element&gt;"&amp;'Control-Sheet'!$H21&amp;"&lt;/processing-element&gt;"</f>
        <v/>
      </c>
    </row>
    <row r="91">
      <c r="A91" s="32">
        <f>"          &lt;tx-array-carrier&gt;"&amp;'Control-Sheet'!$I21&amp;"&lt;/tx-array-carrier&gt;"</f>
        <v/>
      </c>
    </row>
    <row r="92">
      <c r="A92" s="32">
        <f>"          &lt;low-level-tx-endpoint&gt;"&amp;'Control-Sheet'!$J21&amp;"&lt;/low-level-tx-endpoint&gt;"</f>
        <v/>
      </c>
    </row>
    <row r="93">
      <c r="A93" s="28" t="inlineStr">
        <is>
          <t xml:space="preserve">        &lt;/low-level-tx-links&gt;</t>
        </is>
      </c>
    </row>
    <row r="96">
      <c r="A96" s="6" t="inlineStr">
        <is>
          <t xml:space="preserve">        &lt;low-level-tx-endpoints&gt;</t>
        </is>
      </c>
    </row>
    <row r="97">
      <c r="A97" s="7">
        <f>"          &lt;name&gt;"&amp;'Control-Sheet'!$C22&amp;"&lt;/name&gt;"</f>
        <v/>
      </c>
    </row>
    <row r="98">
      <c r="A98" s="6" t="inlineStr">
        <is>
          <t xml:space="preserve">          &lt;compression&gt;</t>
        </is>
      </c>
    </row>
    <row r="99">
      <c r="A99" s="6" t="inlineStr">
        <is>
          <t xml:space="preserve">            &lt;compression-type&gt;STATIC&lt;/compression-type&gt;</t>
        </is>
      </c>
    </row>
    <row r="100">
      <c r="A100" s="6" t="inlineStr">
        <is>
          <t xml:space="preserve">            &lt;iq-bitwidth&gt;16&lt;/iq-bitwidth&gt;</t>
        </is>
      </c>
    </row>
    <row r="101">
      <c r="A101" s="6" t="inlineStr">
        <is>
          <t xml:space="preserve">          &lt;/compression&gt;</t>
        </is>
      </c>
    </row>
    <row r="102">
      <c r="A102" s="6" t="inlineStr">
        <is>
          <t xml:space="preserve">          &lt;frame-structure&gt;160&lt;/frame-structure&gt;</t>
        </is>
      </c>
    </row>
    <row r="103">
      <c r="A103" s="6" t="inlineStr">
        <is>
          <t xml:space="preserve">          &lt;cp-type&gt;NORMAL&lt;/cp-type&gt;</t>
        </is>
      </c>
    </row>
    <row r="104">
      <c r="A104" s="6" t="inlineStr">
        <is>
          <t xml:space="preserve">          &lt;cp-length&gt;160&lt;/cp-length&gt;</t>
        </is>
      </c>
    </row>
    <row r="105">
      <c r="A105" s="6" t="inlineStr">
        <is>
          <t xml:space="preserve">          &lt;cp-length-other&gt;144&lt;/cp-length-other&gt;</t>
        </is>
      </c>
    </row>
    <row r="106">
      <c r="A106" s="9" t="inlineStr">
        <is>
          <t xml:space="preserve">          &lt;offset-to-absolute-frequency-center&gt;0&lt;/offset-to-absolute-frequency-center&gt;</t>
        </is>
      </c>
    </row>
    <row r="107">
      <c r="A107" s="6" t="inlineStr">
        <is>
          <t xml:space="preserve">          &lt;number-of-prb-per-scs&gt;</t>
        </is>
      </c>
    </row>
    <row r="108">
      <c r="A108" s="7">
        <f>"            &lt;scs&gt;"&amp;'Control-Sheet'!$D22&amp;"&lt;/scs&gt;"</f>
        <v/>
      </c>
    </row>
    <row r="109">
      <c r="A109" s="8">
        <f>"            &lt;number-of-prb&gt;"&amp;'Control-Sheet'!$E22&amp;"&lt;/number-of-prb&gt;"</f>
        <v/>
      </c>
    </row>
    <row r="110">
      <c r="A110" s="6" t="inlineStr">
        <is>
          <t xml:space="preserve">          &lt;/number-of-prb-per-scs&gt;</t>
        </is>
      </c>
    </row>
    <row r="111">
      <c r="A111" s="6" t="inlineStr">
        <is>
          <t xml:space="preserve">          &lt;e-axcid&gt;</t>
        </is>
      </c>
    </row>
    <row r="112">
      <c r="A112" s="6" t="inlineStr">
        <is>
          <t xml:space="preserve">            &lt;o-du-port-bitmask&gt;49152&lt;/o-du-port-bitmask&gt;</t>
        </is>
      </c>
    </row>
    <row r="113">
      <c r="A113" s="6" t="inlineStr">
        <is>
          <t xml:space="preserve">            &lt;band-sector-bitmask&gt;12288&lt;/band-sector-bitmask&gt;</t>
        </is>
      </c>
    </row>
    <row r="114">
      <c r="A114" s="6" t="inlineStr">
        <is>
          <t xml:space="preserve">            &lt;ccid-bitmask&gt;3840&lt;/ccid-bitmask&gt;</t>
        </is>
      </c>
    </row>
    <row r="115">
      <c r="A115" s="6" t="inlineStr">
        <is>
          <t xml:space="preserve">            &lt;ru-port-bitmask&gt;255&lt;/ru-port-bitmask&gt;</t>
        </is>
      </c>
    </row>
    <row r="116">
      <c r="A116" s="7">
        <f>"            &lt;eaxc-id&gt;"&amp;'Control-Sheet'!$F22&amp;"&lt;/eaxc-id&gt;"</f>
        <v/>
      </c>
    </row>
    <row r="117">
      <c r="A117" s="6" t="inlineStr">
        <is>
          <t xml:space="preserve">          &lt;/e-axcid&gt;</t>
        </is>
      </c>
    </row>
    <row r="118">
      <c r="A118" s="6" t="inlineStr">
        <is>
          <t xml:space="preserve">        &lt;/low-level-tx-endpoints&gt;</t>
        </is>
      </c>
    </row>
    <row r="119">
      <c r="A119" s="5" t="inlineStr">
        <is>
          <t xml:space="preserve">        &lt;tx-array-carriers&gt;</t>
        </is>
      </c>
    </row>
    <row r="120">
      <c r="A120" s="29">
        <f>"          &lt;name&gt;"&amp;'Control-Sheet'!$K22&amp;"&lt;/name&gt;"</f>
        <v/>
      </c>
    </row>
    <row r="121">
      <c r="A121" s="5" t="inlineStr">
        <is>
          <t xml:space="preserve">          &lt;absolute-frequency-center&gt;0&lt;/absolute-frequency-center&gt;</t>
        </is>
      </c>
    </row>
    <row r="122">
      <c r="A122" s="30">
        <f>"          &lt;center-of-channel-bandwidth&gt;"&amp;'Control-Sheet'!$L22*10^6&amp;"&lt;/center-of-channel-bandwidth&gt;"</f>
        <v/>
      </c>
    </row>
    <row r="123">
      <c r="A123" s="30">
        <f>"          &lt;channel-bandwidth&gt;"&amp;'Control-Sheet'!$M22*10^6&amp;"&lt;/channel-bandwidth&gt;"</f>
        <v/>
      </c>
    </row>
    <row r="124">
      <c r="A124" s="5" t="inlineStr">
        <is>
          <t xml:space="preserve">          &lt;active&gt;INACTIVE&lt;/active&gt;</t>
        </is>
      </c>
    </row>
    <row r="125">
      <c r="A125" s="30">
        <f>"          &lt;type&gt;"&amp;'Control-Sheet'!$N22&amp;"&lt;/type&gt;"</f>
        <v/>
      </c>
    </row>
    <row r="126">
      <c r="A126" s="5" t="inlineStr">
        <is>
          <t xml:space="preserve">          &lt;downlink-radio-frame-offset&gt;0&lt;/downlink-radio-frame-offset&gt;</t>
        </is>
      </c>
    </row>
    <row r="127">
      <c r="A127" s="5" t="inlineStr">
        <is>
          <t xml:space="preserve">          &lt;downlink-sfn-offset&gt;0&lt;/downlink-sfn-offset&gt;</t>
        </is>
      </c>
    </row>
    <row r="128">
      <c r="A128" s="30">
        <f>"          &lt;gain&gt;"&amp;'Control-Sheet'!$O22&amp;"&lt;/gain&gt;"</f>
        <v/>
      </c>
    </row>
    <row r="129">
      <c r="A129" s="5" t="inlineStr">
        <is>
          <t xml:space="preserve">        &lt;/tx-array-carriers&gt;</t>
        </is>
      </c>
    </row>
    <row r="130">
      <c r="A130" s="28" t="inlineStr">
        <is>
          <t xml:space="preserve">        &lt;low-level-tx-links&gt;</t>
        </is>
      </c>
    </row>
    <row r="131">
      <c r="A131" s="31">
        <f>"          &lt;name&gt;"&amp;'Control-Sheet'!$G22&amp;"&lt;/name&gt;"</f>
        <v/>
      </c>
    </row>
    <row r="132">
      <c r="A132" s="32">
        <f>"          &lt;processing-element&gt;"&amp;'Control-Sheet'!$H22&amp;"&lt;/processing-element&gt;"</f>
        <v/>
      </c>
    </row>
    <row r="133">
      <c r="A133" s="32">
        <f>"          &lt;tx-array-carrier&gt;"&amp;'Control-Sheet'!$I22&amp;"&lt;/tx-array-carrier&gt;"</f>
        <v/>
      </c>
    </row>
    <row r="134">
      <c r="A134" s="32">
        <f>"          &lt;low-level-tx-endpoint&gt;"&amp;'Control-Sheet'!$J22&amp;"&lt;/low-level-tx-endpoint&gt;"</f>
        <v/>
      </c>
    </row>
    <row r="135">
      <c r="A135" s="28" t="inlineStr">
        <is>
          <t xml:space="preserve">        &lt;/low-level-tx-links&gt;</t>
        </is>
      </c>
    </row>
    <row r="138">
      <c r="A138" s="6" t="inlineStr">
        <is>
          <t xml:space="preserve">        &lt;low-level-tx-endpoints&gt;</t>
        </is>
      </c>
    </row>
    <row r="139">
      <c r="A139" s="7">
        <f>"          &lt;name&gt;"&amp;'Control-Sheet'!$C23&amp;"&lt;/name&gt;"</f>
        <v/>
      </c>
    </row>
    <row r="140">
      <c r="A140" s="6" t="inlineStr">
        <is>
          <t xml:space="preserve">          &lt;compression&gt;</t>
        </is>
      </c>
    </row>
    <row r="141">
      <c r="A141" s="6" t="inlineStr">
        <is>
          <t xml:space="preserve">            &lt;compression-type&gt;STATIC&lt;/compression-type&gt;</t>
        </is>
      </c>
    </row>
    <row r="142">
      <c r="A142" s="6" t="inlineStr">
        <is>
          <t xml:space="preserve">            &lt;iq-bitwidth&gt;16&lt;/iq-bitwidth&gt;</t>
        </is>
      </c>
    </row>
    <row r="143">
      <c r="A143" s="6" t="inlineStr">
        <is>
          <t xml:space="preserve">          &lt;/compression&gt;</t>
        </is>
      </c>
    </row>
    <row r="144">
      <c r="A144" s="6" t="inlineStr">
        <is>
          <t xml:space="preserve">          &lt;frame-structure&gt;160&lt;/frame-structure&gt;</t>
        </is>
      </c>
    </row>
    <row r="145">
      <c r="A145" s="6" t="inlineStr">
        <is>
          <t xml:space="preserve">          &lt;cp-type&gt;NORMAL&lt;/cp-type&gt;</t>
        </is>
      </c>
    </row>
    <row r="146">
      <c r="A146" s="6" t="inlineStr">
        <is>
          <t xml:space="preserve">          &lt;cp-length&gt;160&lt;/cp-length&gt;</t>
        </is>
      </c>
    </row>
    <row r="147">
      <c r="A147" s="6" t="inlineStr">
        <is>
          <t xml:space="preserve">          &lt;cp-length-other&gt;144&lt;/cp-length-other&gt;</t>
        </is>
      </c>
    </row>
    <row r="148">
      <c r="A148" s="9" t="inlineStr">
        <is>
          <t xml:space="preserve">          &lt;offset-to-absolute-frequency-center&gt;0&lt;/offset-to-absolute-frequency-center&gt;</t>
        </is>
      </c>
    </row>
    <row r="149">
      <c r="A149" s="6" t="inlineStr">
        <is>
          <t xml:space="preserve">          &lt;number-of-prb-per-scs&gt;</t>
        </is>
      </c>
    </row>
    <row r="150">
      <c r="A150" s="7">
        <f>"            &lt;scs&gt;"&amp;'Control-Sheet'!$D23&amp;"&lt;/scs&gt;"</f>
        <v/>
      </c>
    </row>
    <row r="151">
      <c r="A151" s="8">
        <f>"            &lt;number-of-prb&gt;"&amp;'Control-Sheet'!$E23&amp;"&lt;/number-of-prb&gt;"</f>
        <v/>
      </c>
    </row>
    <row r="152">
      <c r="A152" s="6" t="inlineStr">
        <is>
          <t xml:space="preserve">          &lt;/number-of-prb-per-scs&gt;</t>
        </is>
      </c>
    </row>
    <row r="153">
      <c r="A153" s="6" t="inlineStr">
        <is>
          <t xml:space="preserve">          &lt;e-axcid&gt;</t>
        </is>
      </c>
    </row>
    <row r="154">
      <c r="A154" s="6" t="inlineStr">
        <is>
          <t xml:space="preserve">            &lt;o-du-port-bitmask&gt;49152&lt;/o-du-port-bitmask&gt;</t>
        </is>
      </c>
    </row>
    <row r="155">
      <c r="A155" s="6" t="inlineStr">
        <is>
          <t xml:space="preserve">            &lt;band-sector-bitmask&gt;12288&lt;/band-sector-bitmask&gt;</t>
        </is>
      </c>
    </row>
    <row r="156">
      <c r="A156" s="6" t="inlineStr">
        <is>
          <t xml:space="preserve">            &lt;ccid-bitmask&gt;3840&lt;/ccid-bitmask&gt;</t>
        </is>
      </c>
    </row>
    <row r="157">
      <c r="A157" s="6" t="inlineStr">
        <is>
          <t xml:space="preserve">            &lt;ru-port-bitmask&gt;255&lt;/ru-port-bitmask&gt;</t>
        </is>
      </c>
    </row>
    <row r="158">
      <c r="A158" s="7">
        <f>"            &lt;eaxc-id&gt;"&amp;'Control-Sheet'!$F23&amp;"&lt;/eaxc-id&gt;"</f>
        <v/>
      </c>
    </row>
    <row r="159">
      <c r="A159" s="6" t="inlineStr">
        <is>
          <t xml:space="preserve">          &lt;/e-axcid&gt;</t>
        </is>
      </c>
    </row>
    <row r="160">
      <c r="A160" s="6" t="inlineStr">
        <is>
          <t xml:space="preserve">        &lt;/low-level-tx-endpoints&gt;</t>
        </is>
      </c>
    </row>
    <row r="161">
      <c r="A161" s="5" t="inlineStr">
        <is>
          <t xml:space="preserve">        &lt;tx-array-carriers&gt;</t>
        </is>
      </c>
    </row>
    <row r="162">
      <c r="A162" s="29">
        <f>"          &lt;name&gt;"&amp;'Control-Sheet'!$K23&amp;"&lt;/name&gt;"</f>
        <v/>
      </c>
    </row>
    <row r="163">
      <c r="A163" s="5" t="inlineStr">
        <is>
          <t xml:space="preserve">          &lt;absolute-frequency-center&gt;0&lt;/absolute-frequency-center&gt;</t>
        </is>
      </c>
    </row>
    <row r="164">
      <c r="A164" s="30">
        <f>"          &lt;center-of-channel-bandwidth&gt;"&amp;'Control-Sheet'!$L23*10^6&amp;"&lt;/center-of-channel-bandwidth&gt;"</f>
        <v/>
      </c>
    </row>
    <row r="165">
      <c r="A165" s="30">
        <f>"          &lt;channel-bandwidth&gt;"&amp;'Control-Sheet'!$M23*10^6&amp;"&lt;/channel-bandwidth&gt;"</f>
        <v/>
      </c>
    </row>
    <row r="166">
      <c r="A166" s="5" t="inlineStr">
        <is>
          <t xml:space="preserve">          &lt;active&gt;INACTIVE&lt;/active&gt;</t>
        </is>
      </c>
    </row>
    <row r="167">
      <c r="A167" s="30">
        <f>"          &lt;type&gt;"&amp;'Control-Sheet'!$N23&amp;"&lt;/type&gt;"</f>
        <v/>
      </c>
    </row>
    <row r="168">
      <c r="A168" s="5" t="inlineStr">
        <is>
          <t xml:space="preserve">          &lt;downlink-radio-frame-offset&gt;0&lt;/downlink-radio-frame-offset&gt;</t>
        </is>
      </c>
    </row>
    <row r="169">
      <c r="A169" s="5" t="inlineStr">
        <is>
          <t xml:space="preserve">          &lt;downlink-sfn-offset&gt;0&lt;/downlink-sfn-offset&gt;</t>
        </is>
      </c>
    </row>
    <row r="170">
      <c r="A170" s="30">
        <f>"          &lt;gain&gt;"&amp;'Control-Sheet'!$O23&amp;"&lt;/gain&gt;"</f>
        <v/>
      </c>
    </row>
    <row r="171">
      <c r="A171" s="5" t="inlineStr">
        <is>
          <t xml:space="preserve">        &lt;/tx-array-carriers&gt;</t>
        </is>
      </c>
    </row>
    <row r="172">
      <c r="A172" s="28" t="inlineStr">
        <is>
          <t xml:space="preserve">        &lt;low-level-tx-links&gt;</t>
        </is>
      </c>
    </row>
    <row r="173">
      <c r="A173" s="31">
        <f>"          &lt;name&gt;"&amp;'Control-Sheet'!$G23&amp;"&lt;/name&gt;"</f>
        <v/>
      </c>
    </row>
    <row r="174">
      <c r="A174" s="32">
        <f>"          &lt;processing-element&gt;"&amp;'Control-Sheet'!$H23&amp;"&lt;/processing-element&gt;"</f>
        <v/>
      </c>
    </row>
    <row r="175">
      <c r="A175" s="32">
        <f>"          &lt;tx-array-carrier&gt;"&amp;'Control-Sheet'!$I23&amp;"&lt;/tx-array-carrier&gt;"</f>
        <v/>
      </c>
    </row>
    <row r="176">
      <c r="A176" s="32">
        <f>"          &lt;low-level-tx-endpoint&gt;"&amp;'Control-Sheet'!$J23&amp;"&lt;/low-level-tx-endpoint&gt;"</f>
        <v/>
      </c>
    </row>
    <row r="177">
      <c r="A177" s="28" t="inlineStr">
        <is>
          <t xml:space="preserve">        &lt;/low-level-tx-links&gt;</t>
        </is>
      </c>
    </row>
    <row r="180">
      <c r="A180" s="6" t="inlineStr">
        <is>
          <t xml:space="preserve">        &lt;low-level-tx-endpoints&gt;</t>
        </is>
      </c>
    </row>
    <row r="181">
      <c r="A181" s="7">
        <f>"          &lt;name&gt;"&amp;'Control-Sheet'!$C24&amp;"&lt;/name&gt;"</f>
        <v/>
      </c>
    </row>
    <row r="182">
      <c r="A182" s="6" t="inlineStr">
        <is>
          <t xml:space="preserve">          &lt;compression&gt;</t>
        </is>
      </c>
    </row>
    <row r="183">
      <c r="A183" s="6" t="inlineStr">
        <is>
          <t xml:space="preserve">            &lt;compression-type&gt;STATIC&lt;/compression-type&gt;</t>
        </is>
      </c>
    </row>
    <row r="184">
      <c r="A184" s="6" t="inlineStr">
        <is>
          <t xml:space="preserve">            &lt;iq-bitwidth&gt;16&lt;/iq-bitwidth&gt;</t>
        </is>
      </c>
    </row>
    <row r="185">
      <c r="A185" s="6" t="inlineStr">
        <is>
          <t xml:space="preserve">          &lt;/compression&gt;</t>
        </is>
      </c>
    </row>
    <row r="186">
      <c r="A186" s="6" t="inlineStr">
        <is>
          <t xml:space="preserve">          &lt;frame-structure&gt;160&lt;/frame-structure&gt;</t>
        </is>
      </c>
    </row>
    <row r="187">
      <c r="A187" s="6" t="inlineStr">
        <is>
          <t xml:space="preserve">          &lt;cp-type&gt;NORMAL&lt;/cp-type&gt;</t>
        </is>
      </c>
    </row>
    <row r="188">
      <c r="A188" s="6" t="inlineStr">
        <is>
          <t xml:space="preserve">          &lt;cp-length&gt;160&lt;/cp-length&gt;</t>
        </is>
      </c>
    </row>
    <row r="189">
      <c r="A189" s="6" t="inlineStr">
        <is>
          <t xml:space="preserve">          &lt;cp-length-other&gt;144&lt;/cp-length-other&gt;</t>
        </is>
      </c>
    </row>
    <row r="190">
      <c r="A190" s="9" t="inlineStr">
        <is>
          <t xml:space="preserve">          &lt;offset-to-absolute-frequency-center&gt;0&lt;/offset-to-absolute-frequency-center&gt;</t>
        </is>
      </c>
    </row>
    <row r="191">
      <c r="A191" s="6" t="inlineStr">
        <is>
          <t xml:space="preserve">          &lt;number-of-prb-per-scs&gt;</t>
        </is>
      </c>
    </row>
    <row r="192">
      <c r="A192" s="7">
        <f>"            &lt;scs&gt;"&amp;'Control-Sheet'!$D24&amp;"&lt;/scs&gt;"</f>
        <v/>
      </c>
    </row>
    <row r="193">
      <c r="A193" s="8">
        <f>"            &lt;number-of-prb&gt;"&amp;'Control-Sheet'!$E24&amp;"&lt;/number-of-prb&gt;"</f>
        <v/>
      </c>
    </row>
    <row r="194">
      <c r="A194" s="6" t="inlineStr">
        <is>
          <t xml:space="preserve">          &lt;/number-of-prb-per-scs&gt;</t>
        </is>
      </c>
    </row>
    <row r="195">
      <c r="A195" s="6" t="inlineStr">
        <is>
          <t xml:space="preserve">          &lt;e-axcid&gt;</t>
        </is>
      </c>
    </row>
    <row r="196">
      <c r="A196" s="6" t="inlineStr">
        <is>
          <t xml:space="preserve">            &lt;o-du-port-bitmask&gt;49152&lt;/o-du-port-bitmask&gt;</t>
        </is>
      </c>
    </row>
    <row r="197">
      <c r="A197" s="6" t="inlineStr">
        <is>
          <t xml:space="preserve">            &lt;band-sector-bitmask&gt;12288&lt;/band-sector-bitmask&gt;</t>
        </is>
      </c>
    </row>
    <row r="198">
      <c r="A198" s="6" t="inlineStr">
        <is>
          <t xml:space="preserve">            &lt;ccid-bitmask&gt;3840&lt;/ccid-bitmask&gt;</t>
        </is>
      </c>
    </row>
    <row r="199">
      <c r="A199" s="6" t="inlineStr">
        <is>
          <t xml:space="preserve">            &lt;ru-port-bitmask&gt;255&lt;/ru-port-bitmask&gt;</t>
        </is>
      </c>
    </row>
    <row r="200">
      <c r="A200" s="7">
        <f>"            &lt;eaxc-id&gt;"&amp;'Control-Sheet'!$F24&amp;"&lt;/eaxc-id&gt;"</f>
        <v/>
      </c>
    </row>
    <row r="201">
      <c r="A201" s="6" t="inlineStr">
        <is>
          <t xml:space="preserve">          &lt;/e-axcid&gt;</t>
        </is>
      </c>
    </row>
    <row r="202">
      <c r="A202" s="6" t="inlineStr">
        <is>
          <t xml:space="preserve">        &lt;/low-level-tx-endpoints&gt;</t>
        </is>
      </c>
    </row>
    <row r="203">
      <c r="A203" s="5" t="inlineStr">
        <is>
          <t xml:space="preserve">        &lt;tx-array-carriers&gt;</t>
        </is>
      </c>
    </row>
    <row r="204">
      <c r="A204" s="29">
        <f>"          &lt;name&gt;"&amp;'Control-Sheet'!$K24&amp;"&lt;/name&gt;"</f>
        <v/>
      </c>
    </row>
    <row r="205">
      <c r="A205" s="5" t="inlineStr">
        <is>
          <t xml:space="preserve">          &lt;absolute-frequency-center&gt;0&lt;/absolute-frequency-center&gt;</t>
        </is>
      </c>
    </row>
    <row r="206">
      <c r="A206" s="30">
        <f>"          &lt;center-of-channel-bandwidth&gt;"&amp;'Control-Sheet'!$L24*10^6&amp;"&lt;/center-of-channel-bandwidth&gt;"</f>
        <v/>
      </c>
    </row>
    <row r="207">
      <c r="A207" s="30">
        <f>"          &lt;channel-bandwidth&gt;"&amp;'Control-Sheet'!$M24*10^6&amp;"&lt;/channel-bandwidth&gt;"</f>
        <v/>
      </c>
    </row>
    <row r="208">
      <c r="A208" s="5" t="inlineStr">
        <is>
          <t xml:space="preserve">          &lt;active&gt;INACTIVE&lt;/active&gt;</t>
        </is>
      </c>
    </row>
    <row r="209">
      <c r="A209" s="30">
        <f>"          &lt;type&gt;"&amp;'Control-Sheet'!$N24&amp;"&lt;/type&gt;"</f>
        <v/>
      </c>
    </row>
    <row r="210">
      <c r="A210" s="5" t="inlineStr">
        <is>
          <t xml:space="preserve">          &lt;downlink-radio-frame-offset&gt;0&lt;/downlink-radio-frame-offset&gt;</t>
        </is>
      </c>
    </row>
    <row r="211">
      <c r="A211" s="5" t="inlineStr">
        <is>
          <t xml:space="preserve">          &lt;downlink-sfn-offset&gt;0&lt;/downlink-sfn-offset&gt;</t>
        </is>
      </c>
    </row>
    <row r="212">
      <c r="A212" s="30">
        <f>"          &lt;gain&gt;"&amp;'Control-Sheet'!$O24&amp;"&lt;/gain&gt;"</f>
        <v/>
      </c>
    </row>
    <row r="213">
      <c r="A213" s="5" t="inlineStr">
        <is>
          <t xml:space="preserve">        &lt;/tx-array-carriers&gt;</t>
        </is>
      </c>
    </row>
    <row r="214">
      <c r="A214" s="28" t="inlineStr">
        <is>
          <t xml:space="preserve">        &lt;low-level-tx-links&gt;</t>
        </is>
      </c>
    </row>
    <row r="215">
      <c r="A215" s="31">
        <f>"          &lt;name&gt;"&amp;'Control-Sheet'!$G24&amp;"&lt;/name&gt;"</f>
        <v/>
      </c>
    </row>
    <row r="216">
      <c r="A216" s="32">
        <f>"          &lt;processing-element&gt;"&amp;'Control-Sheet'!$H24&amp;"&lt;/processing-element&gt;"</f>
        <v/>
      </c>
    </row>
    <row r="217">
      <c r="A217" s="32">
        <f>"          &lt;tx-array-carrier&gt;"&amp;'Control-Sheet'!$I24&amp;"&lt;/tx-array-carrier&gt;"</f>
        <v/>
      </c>
    </row>
    <row r="218">
      <c r="A218" s="32">
        <f>"          &lt;low-level-tx-endpoint&gt;"&amp;'Control-Sheet'!$J24&amp;"&lt;/low-level-tx-endpoint&gt;"</f>
        <v/>
      </c>
    </row>
    <row r="219">
      <c r="A219" s="28" t="inlineStr">
        <is>
          <t xml:space="preserve">        &lt;/low-level-tx-links&gt;</t>
        </is>
      </c>
    </row>
    <row r="222">
      <c r="A222" s="6" t="inlineStr">
        <is>
          <t xml:space="preserve">        &lt;low-level-tx-endpoints&gt;</t>
        </is>
      </c>
    </row>
    <row r="223">
      <c r="A223" s="7">
        <f>"          &lt;name&gt;"&amp;'Control-Sheet'!$C25&amp;"&lt;/name&gt;"</f>
        <v/>
      </c>
    </row>
    <row r="224">
      <c r="A224" s="6" t="inlineStr">
        <is>
          <t xml:space="preserve">          &lt;compression&gt;</t>
        </is>
      </c>
    </row>
    <row r="225">
      <c r="A225" s="6" t="inlineStr">
        <is>
          <t xml:space="preserve">            &lt;compression-type&gt;STATIC&lt;/compression-type&gt;</t>
        </is>
      </c>
    </row>
    <row r="226">
      <c r="A226" s="6" t="inlineStr">
        <is>
          <t xml:space="preserve">            &lt;iq-bitwidth&gt;16&lt;/iq-bitwidth&gt;</t>
        </is>
      </c>
    </row>
    <row r="227">
      <c r="A227" s="6" t="inlineStr">
        <is>
          <t xml:space="preserve">          &lt;/compression&gt;</t>
        </is>
      </c>
    </row>
    <row r="228">
      <c r="A228" s="6" t="inlineStr">
        <is>
          <t xml:space="preserve">          &lt;frame-structure&gt;160&lt;/frame-structure&gt;</t>
        </is>
      </c>
    </row>
    <row r="229">
      <c r="A229" s="6" t="inlineStr">
        <is>
          <t xml:space="preserve">          &lt;cp-type&gt;NORMAL&lt;/cp-type&gt;</t>
        </is>
      </c>
    </row>
    <row r="230">
      <c r="A230" s="6" t="inlineStr">
        <is>
          <t xml:space="preserve">          &lt;cp-length&gt;160&lt;/cp-length&gt;</t>
        </is>
      </c>
    </row>
    <row r="231">
      <c r="A231" s="6" t="inlineStr">
        <is>
          <t xml:space="preserve">          &lt;cp-length-other&gt;144&lt;/cp-length-other&gt;</t>
        </is>
      </c>
    </row>
    <row r="232">
      <c r="A232" s="9" t="inlineStr">
        <is>
          <t xml:space="preserve">          &lt;offset-to-absolute-frequency-center&gt;0&lt;/offset-to-absolute-frequency-center&gt;</t>
        </is>
      </c>
    </row>
    <row r="233">
      <c r="A233" s="6" t="inlineStr">
        <is>
          <t xml:space="preserve">          &lt;number-of-prb-per-scs&gt;</t>
        </is>
      </c>
    </row>
    <row r="234">
      <c r="A234" s="7">
        <f>"            &lt;scs&gt;"&amp;'Control-Sheet'!$D25&amp;"&lt;/scs&gt;"</f>
        <v/>
      </c>
    </row>
    <row r="235">
      <c r="A235" s="8">
        <f>"            &lt;number-of-prb&gt;"&amp;'Control-Sheet'!$E25&amp;"&lt;/number-of-prb&gt;"</f>
        <v/>
      </c>
    </row>
    <row r="236">
      <c r="A236" s="6" t="inlineStr">
        <is>
          <t xml:space="preserve">          &lt;/number-of-prb-per-scs&gt;</t>
        </is>
      </c>
    </row>
    <row r="237">
      <c r="A237" s="6" t="inlineStr">
        <is>
          <t xml:space="preserve">          &lt;e-axcid&gt;</t>
        </is>
      </c>
    </row>
    <row r="238">
      <c r="A238" s="6" t="inlineStr">
        <is>
          <t xml:space="preserve">            &lt;o-du-port-bitmask&gt;49152&lt;/o-du-port-bitmask&gt;</t>
        </is>
      </c>
    </row>
    <row r="239">
      <c r="A239" s="6" t="inlineStr">
        <is>
          <t xml:space="preserve">            &lt;band-sector-bitmask&gt;12288&lt;/band-sector-bitmask&gt;</t>
        </is>
      </c>
    </row>
    <row r="240">
      <c r="A240" s="6" t="inlineStr">
        <is>
          <t xml:space="preserve">            &lt;ccid-bitmask&gt;3840&lt;/ccid-bitmask&gt;</t>
        </is>
      </c>
    </row>
    <row r="241">
      <c r="A241" s="6" t="inlineStr">
        <is>
          <t xml:space="preserve">            &lt;ru-port-bitmask&gt;255&lt;/ru-port-bitmask&gt;</t>
        </is>
      </c>
    </row>
    <row r="242">
      <c r="A242" s="7">
        <f>"            &lt;eaxc-id&gt;"&amp;'Control-Sheet'!$F25&amp;"&lt;/eaxc-id&gt;"</f>
        <v/>
      </c>
    </row>
    <row r="243">
      <c r="A243" s="6" t="inlineStr">
        <is>
          <t xml:space="preserve">          &lt;/e-axcid&gt;</t>
        </is>
      </c>
    </row>
    <row r="244">
      <c r="A244" s="6" t="inlineStr">
        <is>
          <t xml:space="preserve">        &lt;/low-level-tx-endpoints&gt;</t>
        </is>
      </c>
    </row>
    <row r="245">
      <c r="A245" s="5" t="inlineStr">
        <is>
          <t xml:space="preserve">        &lt;tx-array-carriers&gt;</t>
        </is>
      </c>
    </row>
    <row r="246">
      <c r="A246" s="29">
        <f>"          &lt;name&gt;"&amp;'Control-Sheet'!$K25&amp;"&lt;/name&gt;"</f>
        <v/>
      </c>
    </row>
    <row r="247">
      <c r="A247" s="5" t="inlineStr">
        <is>
          <t xml:space="preserve">          &lt;absolute-frequency-center&gt;0&lt;/absolute-frequency-center&gt;</t>
        </is>
      </c>
    </row>
    <row r="248">
      <c r="A248" s="30">
        <f>"          &lt;center-of-channel-bandwidth&gt;"&amp;'Control-Sheet'!$L25*10^6&amp;"&lt;/center-of-channel-bandwidth&gt;"</f>
        <v/>
      </c>
    </row>
    <row r="249">
      <c r="A249" s="30">
        <f>"          &lt;channel-bandwidth&gt;"&amp;'Control-Sheet'!$M25*10^6&amp;"&lt;/channel-bandwidth&gt;"</f>
        <v/>
      </c>
    </row>
    <row r="250">
      <c r="A250" s="5" t="inlineStr">
        <is>
          <t xml:space="preserve">          &lt;active&gt;INACTIVE&lt;/active&gt;</t>
        </is>
      </c>
    </row>
    <row r="251">
      <c r="A251" s="30">
        <f>"          &lt;type&gt;"&amp;'Control-Sheet'!$N25&amp;"&lt;/type&gt;"</f>
        <v/>
      </c>
    </row>
    <row r="252">
      <c r="A252" s="5" t="inlineStr">
        <is>
          <t xml:space="preserve">          &lt;downlink-radio-frame-offset&gt;0&lt;/downlink-radio-frame-offset&gt;</t>
        </is>
      </c>
    </row>
    <row r="253">
      <c r="A253" s="5" t="inlineStr">
        <is>
          <t xml:space="preserve">          &lt;downlink-sfn-offset&gt;0&lt;/downlink-sfn-offset&gt;</t>
        </is>
      </c>
    </row>
    <row r="254">
      <c r="A254" s="30">
        <f>"          &lt;gain&gt;"&amp;'Control-Sheet'!$O25&amp;"&lt;/gain&gt;"</f>
        <v/>
      </c>
    </row>
    <row r="255">
      <c r="A255" s="5" t="inlineStr">
        <is>
          <t xml:space="preserve">        &lt;/tx-array-carriers&gt;</t>
        </is>
      </c>
    </row>
    <row r="256">
      <c r="A256" s="28" t="inlineStr">
        <is>
          <t xml:space="preserve">        &lt;low-level-tx-links&gt;</t>
        </is>
      </c>
    </row>
    <row r="257">
      <c r="A257" s="31">
        <f>"          &lt;name&gt;"&amp;'Control-Sheet'!$G25&amp;"&lt;/name&gt;"</f>
        <v/>
      </c>
    </row>
    <row r="258">
      <c r="A258" s="32">
        <f>"          &lt;processing-element&gt;"&amp;'Control-Sheet'!$H25&amp;"&lt;/processing-element&gt;"</f>
        <v/>
      </c>
    </row>
    <row r="259">
      <c r="A259" s="32">
        <f>"          &lt;tx-array-carrier&gt;"&amp;'Control-Sheet'!$I25&amp;"&lt;/tx-array-carrier&gt;"</f>
        <v/>
      </c>
    </row>
    <row r="260">
      <c r="A260" s="32">
        <f>"          &lt;low-level-tx-endpoint&gt;"&amp;'Control-Sheet'!$J25&amp;"&lt;/low-level-tx-endpoint&gt;"</f>
        <v/>
      </c>
    </row>
    <row r="261">
      <c r="A261" s="28" t="inlineStr">
        <is>
          <t xml:space="preserve">        &lt;/low-level-tx-links&gt;</t>
        </is>
      </c>
    </row>
    <row r="264">
      <c r="A264" s="6" t="inlineStr">
        <is>
          <t xml:space="preserve">        &lt;low-level-tx-endpoints&gt;</t>
        </is>
      </c>
    </row>
    <row r="265">
      <c r="A265" s="7">
        <f>"          &lt;name&gt;"&amp;'Control-Sheet'!$C26&amp;"&lt;/name&gt;"</f>
        <v/>
      </c>
    </row>
    <row r="266">
      <c r="A266" s="6" t="inlineStr">
        <is>
          <t xml:space="preserve">          &lt;compression&gt;</t>
        </is>
      </c>
    </row>
    <row r="267">
      <c r="A267" s="6" t="inlineStr">
        <is>
          <t xml:space="preserve">            &lt;compression-type&gt;STATIC&lt;/compression-type&gt;</t>
        </is>
      </c>
    </row>
    <row r="268">
      <c r="A268" s="6" t="inlineStr">
        <is>
          <t xml:space="preserve">            &lt;iq-bitwidth&gt;16&lt;/iq-bitwidth&gt;</t>
        </is>
      </c>
    </row>
    <row r="269">
      <c r="A269" s="6" t="inlineStr">
        <is>
          <t xml:space="preserve">          &lt;/compression&gt;</t>
        </is>
      </c>
    </row>
    <row r="270">
      <c r="A270" s="6" t="inlineStr">
        <is>
          <t xml:space="preserve">          &lt;frame-structure&gt;160&lt;/frame-structure&gt;</t>
        </is>
      </c>
    </row>
    <row r="271">
      <c r="A271" s="6" t="inlineStr">
        <is>
          <t xml:space="preserve">          &lt;cp-type&gt;NORMAL&lt;/cp-type&gt;</t>
        </is>
      </c>
    </row>
    <row r="272">
      <c r="A272" s="6" t="inlineStr">
        <is>
          <t xml:space="preserve">          &lt;cp-length&gt;160&lt;/cp-length&gt;</t>
        </is>
      </c>
    </row>
    <row r="273">
      <c r="A273" s="6" t="inlineStr">
        <is>
          <t xml:space="preserve">          &lt;cp-length-other&gt;144&lt;/cp-length-other&gt;</t>
        </is>
      </c>
    </row>
    <row r="274">
      <c r="A274" s="9" t="inlineStr">
        <is>
          <t xml:space="preserve">          &lt;offset-to-absolute-frequency-center&gt;0&lt;/offset-to-absolute-frequency-center&gt;</t>
        </is>
      </c>
    </row>
    <row r="275">
      <c r="A275" s="6" t="inlineStr">
        <is>
          <t xml:space="preserve">          &lt;number-of-prb-per-scs&gt;</t>
        </is>
      </c>
    </row>
    <row r="276">
      <c r="A276" s="7">
        <f>"            &lt;scs&gt;"&amp;'Control-Sheet'!$D26&amp;"&lt;/scs&gt;"</f>
        <v/>
      </c>
    </row>
    <row r="277">
      <c r="A277" s="8">
        <f>"            &lt;number-of-prb&gt;"&amp;'Control-Sheet'!$E26&amp;"&lt;/number-of-prb&gt;"</f>
        <v/>
      </c>
    </row>
    <row r="278">
      <c r="A278" s="6" t="inlineStr">
        <is>
          <t xml:space="preserve">          &lt;/number-of-prb-per-scs&gt;</t>
        </is>
      </c>
    </row>
    <row r="279">
      <c r="A279" s="6" t="inlineStr">
        <is>
          <t xml:space="preserve">          &lt;e-axcid&gt;</t>
        </is>
      </c>
    </row>
    <row r="280">
      <c r="A280" s="6" t="inlineStr">
        <is>
          <t xml:space="preserve">            &lt;o-du-port-bitmask&gt;49152&lt;/o-du-port-bitmask&gt;</t>
        </is>
      </c>
    </row>
    <row r="281">
      <c r="A281" s="6" t="inlineStr">
        <is>
          <t xml:space="preserve">            &lt;band-sector-bitmask&gt;12288&lt;/band-sector-bitmask&gt;</t>
        </is>
      </c>
    </row>
    <row r="282">
      <c r="A282" s="6" t="inlineStr">
        <is>
          <t xml:space="preserve">            &lt;ccid-bitmask&gt;3840&lt;/ccid-bitmask&gt;</t>
        </is>
      </c>
    </row>
    <row r="283">
      <c r="A283" s="6" t="inlineStr">
        <is>
          <t xml:space="preserve">            &lt;ru-port-bitmask&gt;255&lt;/ru-port-bitmask&gt;</t>
        </is>
      </c>
    </row>
    <row r="284">
      <c r="A284" s="7">
        <f>"            &lt;eaxc-id&gt;"&amp;'Control-Sheet'!$F26&amp;"&lt;/eaxc-id&gt;"</f>
        <v/>
      </c>
    </row>
    <row r="285">
      <c r="A285" s="6" t="inlineStr">
        <is>
          <t xml:space="preserve">          &lt;/e-axcid&gt;</t>
        </is>
      </c>
    </row>
    <row r="286">
      <c r="A286" s="6" t="inlineStr">
        <is>
          <t xml:space="preserve">        &lt;/low-level-tx-endpoints&gt;</t>
        </is>
      </c>
    </row>
    <row r="287">
      <c r="A287" s="5" t="inlineStr">
        <is>
          <t xml:space="preserve">        &lt;tx-array-carriers&gt;</t>
        </is>
      </c>
    </row>
    <row r="288">
      <c r="A288" s="29">
        <f>"          &lt;name&gt;"&amp;'Control-Sheet'!$K26&amp;"&lt;/name&gt;"</f>
        <v/>
      </c>
    </row>
    <row r="289">
      <c r="A289" s="5" t="inlineStr">
        <is>
          <t xml:space="preserve">          &lt;absolute-frequency-center&gt;0&lt;/absolute-frequency-center&gt;</t>
        </is>
      </c>
    </row>
    <row r="290">
      <c r="A290" s="30">
        <f>"          &lt;center-of-channel-bandwidth&gt;"&amp;'Control-Sheet'!$L26*10^6&amp;"&lt;/center-of-channel-bandwidth&gt;"</f>
        <v/>
      </c>
    </row>
    <row r="291">
      <c r="A291" s="30">
        <f>"          &lt;channel-bandwidth&gt;"&amp;'Control-Sheet'!$M26*10^6&amp;"&lt;/channel-bandwidth&gt;"</f>
        <v/>
      </c>
    </row>
    <row r="292">
      <c r="A292" s="5" t="inlineStr">
        <is>
          <t xml:space="preserve">          &lt;active&gt;INACTIVE&lt;/active&gt;</t>
        </is>
      </c>
    </row>
    <row r="293">
      <c r="A293" s="30">
        <f>"          &lt;type&gt;"&amp;'Control-Sheet'!$N26&amp;"&lt;/type&gt;"</f>
        <v/>
      </c>
    </row>
    <row r="294">
      <c r="A294" s="5" t="inlineStr">
        <is>
          <t xml:space="preserve">          &lt;downlink-radio-frame-offset&gt;0&lt;/downlink-radio-frame-offset&gt;</t>
        </is>
      </c>
    </row>
    <row r="295">
      <c r="A295" s="5" t="inlineStr">
        <is>
          <t xml:space="preserve">          &lt;downlink-sfn-offset&gt;0&lt;/downlink-sfn-offset&gt;</t>
        </is>
      </c>
    </row>
    <row r="296">
      <c r="A296" s="30">
        <f>"          &lt;gain&gt;"&amp;'Control-Sheet'!$O26&amp;"&lt;/gain&gt;"</f>
        <v/>
      </c>
    </row>
    <row r="297">
      <c r="A297" s="5" t="inlineStr">
        <is>
          <t xml:space="preserve">        &lt;/tx-array-carriers&gt;</t>
        </is>
      </c>
    </row>
    <row r="298">
      <c r="A298" s="28" t="inlineStr">
        <is>
          <t xml:space="preserve">        &lt;low-level-tx-links&gt;</t>
        </is>
      </c>
    </row>
    <row r="299">
      <c r="A299" s="31">
        <f>"          &lt;name&gt;"&amp;'Control-Sheet'!$G26&amp;"&lt;/name&gt;"</f>
        <v/>
      </c>
    </row>
    <row r="300">
      <c r="A300" s="32">
        <f>"          &lt;processing-element&gt;"&amp;'Control-Sheet'!$H26&amp;"&lt;/processing-element&gt;"</f>
        <v/>
      </c>
    </row>
    <row r="301">
      <c r="A301" s="32">
        <f>"          &lt;tx-array-carrier&gt;"&amp;'Control-Sheet'!$I26&amp;"&lt;/tx-array-carrier&gt;"</f>
        <v/>
      </c>
    </row>
    <row r="302">
      <c r="A302" s="32">
        <f>"          &lt;low-level-tx-endpoint&gt;"&amp;'Control-Sheet'!$J26&amp;"&lt;/low-level-tx-endpoint&gt;"</f>
        <v/>
      </c>
    </row>
    <row r="303">
      <c r="A303" s="28" t="inlineStr">
        <is>
          <t xml:space="preserve">        &lt;/low-level-tx-links&gt;</t>
        </is>
      </c>
    </row>
    <row r="306">
      <c r="A306" s="6" t="inlineStr">
        <is>
          <t xml:space="preserve">        &lt;low-level-tx-endpoints&gt;</t>
        </is>
      </c>
    </row>
    <row r="307">
      <c r="A307" s="7">
        <f>"          &lt;name&gt;"&amp;'Control-Sheet'!$C27&amp;"&lt;/name&gt;"</f>
        <v/>
      </c>
    </row>
    <row r="308">
      <c r="A308" s="6" t="inlineStr">
        <is>
          <t xml:space="preserve">          &lt;compression&gt;</t>
        </is>
      </c>
    </row>
    <row r="309">
      <c r="A309" s="6" t="inlineStr">
        <is>
          <t xml:space="preserve">            &lt;compression-type&gt;STATIC&lt;/compression-type&gt;</t>
        </is>
      </c>
    </row>
    <row r="310">
      <c r="A310" s="6" t="inlineStr">
        <is>
          <t xml:space="preserve">            &lt;iq-bitwidth&gt;16&lt;/iq-bitwidth&gt;</t>
        </is>
      </c>
    </row>
    <row r="311">
      <c r="A311" s="6" t="inlineStr">
        <is>
          <t xml:space="preserve">          &lt;/compression&gt;</t>
        </is>
      </c>
    </row>
    <row r="312">
      <c r="A312" s="6" t="inlineStr">
        <is>
          <t xml:space="preserve">          &lt;frame-structure&gt;160&lt;/frame-structure&gt;</t>
        </is>
      </c>
    </row>
    <row r="313">
      <c r="A313" s="6" t="inlineStr">
        <is>
          <t xml:space="preserve">          &lt;cp-type&gt;NORMAL&lt;/cp-type&gt;</t>
        </is>
      </c>
    </row>
    <row r="314">
      <c r="A314" s="6" t="inlineStr">
        <is>
          <t xml:space="preserve">          &lt;cp-length&gt;160&lt;/cp-length&gt;</t>
        </is>
      </c>
    </row>
    <row r="315">
      <c r="A315" s="6" t="inlineStr">
        <is>
          <t xml:space="preserve">          &lt;cp-length-other&gt;144&lt;/cp-length-other&gt;</t>
        </is>
      </c>
    </row>
    <row r="316">
      <c r="A316" s="9" t="inlineStr">
        <is>
          <t xml:space="preserve">          &lt;offset-to-absolute-frequency-center&gt;0&lt;/offset-to-absolute-frequency-center&gt;</t>
        </is>
      </c>
    </row>
    <row r="317">
      <c r="A317" s="6" t="inlineStr">
        <is>
          <t xml:space="preserve">          &lt;number-of-prb-per-scs&gt;</t>
        </is>
      </c>
    </row>
    <row r="318">
      <c r="A318" s="7">
        <f>"            &lt;scs&gt;"&amp;'Control-Sheet'!$D27&amp;"&lt;/scs&gt;"</f>
        <v/>
      </c>
    </row>
    <row r="319">
      <c r="A319" s="8">
        <f>"            &lt;number-of-prb&gt;"&amp;'Control-Sheet'!$E27&amp;"&lt;/number-of-prb&gt;"</f>
        <v/>
      </c>
    </row>
    <row r="320">
      <c r="A320" s="6" t="inlineStr">
        <is>
          <t xml:space="preserve">          &lt;/number-of-prb-per-scs&gt;</t>
        </is>
      </c>
    </row>
    <row r="321">
      <c r="A321" s="6" t="inlineStr">
        <is>
          <t xml:space="preserve">          &lt;e-axcid&gt;</t>
        </is>
      </c>
    </row>
    <row r="322">
      <c r="A322" s="6" t="inlineStr">
        <is>
          <t xml:space="preserve">            &lt;o-du-port-bitmask&gt;49152&lt;/o-du-port-bitmask&gt;</t>
        </is>
      </c>
    </row>
    <row r="323">
      <c r="A323" s="6" t="inlineStr">
        <is>
          <t xml:space="preserve">            &lt;band-sector-bitmask&gt;12288&lt;/band-sector-bitmask&gt;</t>
        </is>
      </c>
    </row>
    <row r="324">
      <c r="A324" s="6" t="inlineStr">
        <is>
          <t xml:space="preserve">            &lt;ccid-bitmask&gt;3840&lt;/ccid-bitmask&gt;</t>
        </is>
      </c>
    </row>
    <row r="325">
      <c r="A325" s="6" t="inlineStr">
        <is>
          <t xml:space="preserve">            &lt;ru-port-bitmask&gt;255&lt;/ru-port-bitmask&gt;</t>
        </is>
      </c>
    </row>
    <row r="326">
      <c r="A326" s="7">
        <f>"            &lt;eaxc-id&gt;"&amp;'Control-Sheet'!$F27&amp;"&lt;/eaxc-id&gt;"</f>
        <v/>
      </c>
    </row>
    <row r="327">
      <c r="A327" s="6" t="inlineStr">
        <is>
          <t xml:space="preserve">          &lt;/e-axcid&gt;</t>
        </is>
      </c>
    </row>
    <row r="328">
      <c r="A328" s="6" t="inlineStr">
        <is>
          <t xml:space="preserve">        &lt;/low-level-tx-endpoints&gt;</t>
        </is>
      </c>
    </row>
    <row r="329">
      <c r="A329" s="5" t="inlineStr">
        <is>
          <t xml:space="preserve">        &lt;tx-array-carriers&gt;</t>
        </is>
      </c>
    </row>
    <row r="330">
      <c r="A330" s="29">
        <f>"          &lt;name&gt;"&amp;'Control-Sheet'!$K27&amp;"&lt;/name&gt;"</f>
        <v/>
      </c>
    </row>
    <row r="331">
      <c r="A331" s="5" t="inlineStr">
        <is>
          <t xml:space="preserve">          &lt;absolute-frequency-center&gt;0&lt;/absolute-frequency-center&gt;</t>
        </is>
      </c>
    </row>
    <row r="332">
      <c r="A332" s="30">
        <f>"          &lt;center-of-channel-bandwidth&gt;"&amp;'Control-Sheet'!$L27*10^6&amp;"&lt;/center-of-channel-bandwidth&gt;"</f>
        <v/>
      </c>
    </row>
    <row r="333">
      <c r="A333" s="30">
        <f>"          &lt;channel-bandwidth&gt;"&amp;'Control-Sheet'!$M27*10^6&amp;"&lt;/channel-bandwidth&gt;"</f>
        <v/>
      </c>
    </row>
    <row r="334">
      <c r="A334" s="5" t="inlineStr">
        <is>
          <t xml:space="preserve">          &lt;active&gt;INACTIVE&lt;/active&gt;</t>
        </is>
      </c>
    </row>
    <row r="335">
      <c r="A335" s="30">
        <f>"          &lt;type&gt;"&amp;'Control-Sheet'!$N27&amp;"&lt;/type&gt;"</f>
        <v/>
      </c>
    </row>
    <row r="336">
      <c r="A336" s="5" t="inlineStr">
        <is>
          <t xml:space="preserve">          &lt;downlink-radio-frame-offset&gt;0&lt;/downlink-radio-frame-offset&gt;</t>
        </is>
      </c>
    </row>
    <row r="337">
      <c r="A337" s="5" t="inlineStr">
        <is>
          <t xml:space="preserve">          &lt;downlink-sfn-offset&gt;0&lt;/downlink-sfn-offset&gt;</t>
        </is>
      </c>
    </row>
    <row r="338">
      <c r="A338" s="30">
        <f>"          &lt;gain&gt;"&amp;'Control-Sheet'!$O27&amp;"&lt;/gain&gt;"</f>
        <v/>
      </c>
    </row>
    <row r="339">
      <c r="A339" s="5" t="inlineStr">
        <is>
          <t xml:space="preserve">        &lt;/tx-array-carriers&gt;</t>
        </is>
      </c>
    </row>
    <row r="340">
      <c r="A340" s="28" t="inlineStr">
        <is>
          <t xml:space="preserve">        &lt;low-level-tx-links&gt;</t>
        </is>
      </c>
    </row>
    <row r="341">
      <c r="A341" s="31">
        <f>"          &lt;name&gt;"&amp;'Control-Sheet'!$G27&amp;"&lt;/name&gt;"</f>
        <v/>
      </c>
    </row>
    <row r="342">
      <c r="A342" s="32">
        <f>"          &lt;processing-element&gt;"&amp;'Control-Sheet'!$H27&amp;"&lt;/processing-element&gt;"</f>
        <v/>
      </c>
    </row>
    <row r="343">
      <c r="A343" s="32">
        <f>"          &lt;tx-array-carrier&gt;"&amp;'Control-Sheet'!$I27&amp;"&lt;/tx-array-carrier&gt;"</f>
        <v/>
      </c>
    </row>
    <row r="344">
      <c r="A344" s="32">
        <f>"          &lt;low-level-tx-endpoint&gt;"&amp;'Control-Sheet'!$J27&amp;"&lt;/low-level-tx-endpoint&gt;"</f>
        <v/>
      </c>
    </row>
    <row r="345">
      <c r="A345" s="28" t="inlineStr">
        <is>
          <t xml:space="preserve">        &lt;/low-level-tx-links&gt;</t>
        </is>
      </c>
    </row>
    <row r="348">
      <c r="A348" s="0" t="inlineStr">
        <is>
          <t xml:space="preserve">      &lt;/user-plane-configuration&gt;</t>
        </is>
      </c>
    </row>
    <row r="349">
      <c r="A349" s="0" t="inlineStr">
        <is>
          <t xml:space="preserve">    &lt;/config&gt;</t>
        </is>
      </c>
    </row>
    <row r="350">
      <c r="A350" s="0" t="inlineStr">
        <is>
          <t xml:space="preserve">  &lt;/edit-config&gt;</t>
        </is>
      </c>
    </row>
    <row r="351">
      <c r="A351" s="0" t="inlineStr">
        <is>
          <t>&lt;/rpc&gt;</t>
        </is>
      </c>
    </row>
  </sheetData>
  <autoFilter ref="A1:A351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1"/>
  <sheetViews>
    <sheetView workbookViewId="0">
      <selection activeCell="A1" sqref="A1:A1048576"/>
    </sheetView>
  </sheetViews>
  <sheetFormatPr baseColWidth="8" defaultRowHeight="13.5"/>
  <cols>
    <col width="79" bestFit="1" customWidth="1" style="33" min="1" max="1"/>
  </cols>
  <sheetData>
    <row r="1">
      <c r="A1" s="33" t="inlineStr">
        <is>
          <t>&lt;?xml version="1.0" encoding="UTF-8"?&gt;</t>
        </is>
      </c>
    </row>
    <row r="2">
      <c r="A2" s="33" t="inlineStr">
        <is>
          <t>&lt;rpc xmlns="urn:ietf:params:xml:ns:netconf:base:1.0" message-id="1"&gt;</t>
        </is>
      </c>
    </row>
    <row r="3">
      <c r="A3" s="33" t="inlineStr">
        <is>
          <t xml:space="preserve">  &lt;edit-config&gt;</t>
        </is>
      </c>
    </row>
    <row r="4">
      <c r="A4" s="33" t="inlineStr">
        <is>
          <t xml:space="preserve">    &lt;target&gt;</t>
        </is>
      </c>
    </row>
    <row r="5">
      <c r="A5" s="33" t="inlineStr">
        <is>
          <t xml:space="preserve">      &lt;running/&gt;</t>
        </is>
      </c>
    </row>
    <row r="6">
      <c r="A6" s="33" t="inlineStr">
        <is>
          <t xml:space="preserve">    &lt;/target&gt;</t>
        </is>
      </c>
    </row>
    <row r="7">
      <c r="A7" s="33" t="inlineStr">
        <is>
          <t xml:space="preserve">    &lt;default-operation&gt;merge&lt;/default-operation&gt;</t>
        </is>
      </c>
    </row>
    <row r="8">
      <c r="A8" s="33" t="inlineStr">
        <is>
          <t xml:space="preserve">    &lt;config&gt;</t>
        </is>
      </c>
    </row>
    <row r="9">
      <c r="A9" s="33" t="inlineStr">
        <is>
          <t xml:space="preserve">      &lt;user-plane-configuration xmlns="urn:o-ran:uplane-conf:1.0"&gt;</t>
        </is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&lt;name&gt;"&amp;'Control-Sheet'!$C34&amp;"&lt;/name&gt;"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1" t="inlineStr">
        <is>
          <t xml:space="preserve">            &lt;iq-bitwidth&gt;16&lt;/iq-bitwidth&gt;</t>
        </is>
      </c>
    </row>
    <row r="17">
      <c r="A17" s="1" t="inlineStr">
        <is>
          <t xml:space="preserve">          &lt;/compression&gt;</t>
        </is>
      </c>
    </row>
    <row r="18">
      <c r="A18" s="1" t="inlineStr">
        <is>
          <t xml:space="preserve">          &lt;frame-structure&gt;160&lt;/frame-structure&gt;</t>
        </is>
      </c>
    </row>
    <row r="19">
      <c r="A19" s="1" t="inlineStr">
        <is>
          <t xml:space="preserve">          &lt;cp-type&gt;NORMAL&lt;/cp-type&gt;</t>
        </is>
      </c>
    </row>
    <row r="20">
      <c r="A20" s="1" t="inlineStr">
        <is>
          <t xml:space="preserve">          &lt;cp-length&gt;160&lt;/cp-length&gt;</t>
        </is>
      </c>
    </row>
    <row r="21">
      <c r="A21" s="1" t="inlineStr">
        <is>
          <t xml:space="preserve">          &lt;cp-length-other&gt;144&lt;/cp-length-other&gt;</t>
        </is>
      </c>
    </row>
    <row r="22">
      <c r="A22" s="1" t="inlineStr">
        <is>
          <t xml:space="preserve">          &lt;offset-to-absolute-frequency-center&gt;0&lt;/offset-to-absolute-frequency-center&gt;</t>
        </is>
      </c>
    </row>
    <row r="23">
      <c r="A23" s="1" t="inlineStr">
        <is>
          <t xml:space="preserve">          &lt;number-of-prb-per-scs&gt;</t>
        </is>
      </c>
    </row>
    <row r="24">
      <c r="A24" s="8">
        <f>"            &lt;scs&gt;"&amp;'Control-Sheet'!$D34&amp;"&lt;/scs&gt;"</f>
        <v/>
      </c>
    </row>
    <row r="25">
      <c r="A25" s="8">
        <f>"            &lt;number-of-prb&gt;"&amp;'Control-Sheet'!$E34&amp;"&lt;/number-of-prb&gt;"</f>
        <v/>
      </c>
    </row>
    <row r="26">
      <c r="A26" s="1" t="inlineStr">
        <is>
          <t xml:space="preserve">          &lt;/number-of-prb-per-scs&gt;</t>
        </is>
      </c>
    </row>
    <row r="27">
      <c r="A27" s="1" t="inlineStr">
        <is>
          <t xml:space="preserve">          &lt;ul-fft-sampling-offsets&gt;</t>
        </is>
      </c>
    </row>
    <row r="28">
      <c r="A28" s="8">
        <f>"            &lt;scs&gt;"&amp;'Control-Sheet'!$D34&amp;"&lt;/scs&gt;"</f>
        <v/>
      </c>
    </row>
    <row r="29">
      <c r="A29" s="8">
        <f>"            &lt;ul-fft-sampling-offset&gt;"&amp;'Control-Sheet'!$F34&amp;"&lt;/ul-fft-sampling-offset&gt;"</f>
        <v/>
      </c>
    </row>
    <row r="30">
      <c r="A30" s="1" t="inlineStr">
        <is>
          <t xml:space="preserve">          &lt;/ul-fft-sampling-offsets&gt;</t>
        </is>
      </c>
    </row>
    <row r="31">
      <c r="A31" s="1" t="inlineStr">
        <is>
          <t xml:space="preserve">          &lt;e-axcid&gt;</t>
        </is>
      </c>
    </row>
    <row r="32">
      <c r="A32" s="1" t="inlineStr">
        <is>
          <t xml:space="preserve">            &lt;o-du-port-bitmask&gt;49152&lt;/o-du-port-bitmask&gt;</t>
        </is>
      </c>
    </row>
    <row r="33">
      <c r="A33" s="1" t="inlineStr">
        <is>
          <t xml:space="preserve">            &lt;band-sector-bitmask&gt;12288&lt;/band-sector-bitmask&gt;</t>
        </is>
      </c>
    </row>
    <row r="34">
      <c r="A34" s="1" t="inlineStr">
        <is>
          <t xml:space="preserve">            &lt;ccid-bitmask&gt;3840&lt;/ccid-bitmask&gt;</t>
        </is>
      </c>
    </row>
    <row r="35">
      <c r="A35" s="1" t="inlineStr">
        <is>
          <t xml:space="preserve">            &lt;ru-port-bitmask&gt;255&lt;/ru-port-bitmask&gt;</t>
        </is>
      </c>
    </row>
    <row r="36">
      <c r="A36" s="8">
        <f>"            &lt;eaxc-id&gt;"&amp;'Control-Sheet'!$G34&amp;"&lt;/eaxc-id&gt;"</f>
        <v/>
      </c>
    </row>
    <row r="37">
      <c r="A37" s="1" t="inlineStr">
        <is>
          <t xml:space="preserve">          &lt;/e-axcid&gt;</t>
        </is>
      </c>
    </row>
    <row r="38">
      <c r="A38" s="1" t="inlineStr">
        <is>
          <t xml:space="preserve">        &lt;/low-level-rx-endpoints&gt;</t>
        </is>
      </c>
    </row>
    <row r="39">
      <c r="A39" s="2" t="inlineStr">
        <is>
          <t xml:space="preserve">        &lt;rx-array-carriers&gt;</t>
        </is>
      </c>
    </row>
    <row r="40">
      <c r="A40" s="30">
        <f>"          &lt;name&gt;"&amp;'Control-Sheet'!$L34&amp;"&lt;/name&gt;"</f>
        <v/>
      </c>
    </row>
    <row r="41">
      <c r="A41" s="2" t="inlineStr">
        <is>
          <t xml:space="preserve">          &lt;absolute-frequency-center&gt;0&lt;/absolute-frequency-center&gt;</t>
        </is>
      </c>
    </row>
    <row r="42">
      <c r="A42" s="30">
        <f>"          &lt;center-of-channel-bandwidth&gt;"&amp;'Control-Sheet'!$M34*10^6&amp;"&lt;/center-of-channel-bandwidth&gt;"</f>
        <v/>
      </c>
    </row>
    <row r="43">
      <c r="A43" s="30">
        <f>"          &lt;channel-bandwidth&gt;"&amp;'Control-Sheet'!$N34*10^6&amp;"&lt;/channel-bandwidth&gt;"</f>
        <v/>
      </c>
    </row>
    <row r="44">
      <c r="A44" s="2" t="inlineStr">
        <is>
          <t xml:space="preserve">          &lt;active&gt;INACTIVE&lt;/active&gt;</t>
        </is>
      </c>
    </row>
    <row r="45">
      <c r="A45" s="30">
        <f>"          &lt;type&gt;"&amp;'Control-Sheet'!$O34&amp;"&lt;/type&gt;"</f>
        <v/>
      </c>
    </row>
    <row r="46">
      <c r="A46" s="30">
        <f>"          &lt;n-ta-offset&gt;"&amp;'Control-Sheet'!$P34&amp;"&lt;/n-ta-offset&gt;"</f>
        <v/>
      </c>
    </row>
    <row r="47">
      <c r="A47" s="2" t="inlineStr">
        <is>
          <t xml:space="preserve">          &lt;gain-correction&gt;0&lt;/gain-correction&gt;</t>
        </is>
      </c>
    </row>
    <row r="48">
      <c r="A48" s="2" t="inlineStr">
        <is>
          <t xml:space="preserve">          &lt;downlink-radio-frame-offset&gt;0&lt;/downlink-radio-frame-offset&gt;</t>
        </is>
      </c>
    </row>
    <row r="49">
      <c r="A49" s="2" t="inlineStr">
        <is>
          <t xml:space="preserve">          &lt;downlink-sfn-offset&gt;0&lt;/downlink-sfn-offset&gt;</t>
        </is>
      </c>
    </row>
    <row r="50">
      <c r="A50" s="2" t="inlineStr">
        <is>
          <t xml:space="preserve">        &lt;/rx-array-carriers&gt;</t>
        </is>
      </c>
    </row>
    <row r="51">
      <c r="A51" s="3" t="inlineStr">
        <is>
          <t xml:space="preserve">        &lt;low-level-rx-links&gt;</t>
        </is>
      </c>
    </row>
    <row r="52">
      <c r="A52" s="32">
        <f>"          &lt;name&gt;"&amp;'Control-Sheet'!$H34&amp;"&lt;/name&gt;"</f>
        <v/>
      </c>
    </row>
    <row r="53">
      <c r="A53" s="32">
        <f>"          &lt;processing-element&gt;"&amp;'Control-Sheet'!$I34&amp;"&lt;/processing-element&gt;"</f>
        <v/>
      </c>
    </row>
    <row r="54">
      <c r="A54" s="32">
        <f>"          &lt;rx-array-carrier&gt;"&amp;'Control-Sheet'!$J34&amp;"&lt;/rx-array-carrier&gt;"</f>
        <v/>
      </c>
    </row>
    <row r="55">
      <c r="A55" s="32">
        <f>"          &lt;low-level-rx-endpoint&gt;"&amp;'Control-Sheet'!$K34&amp;"&lt;/low-level-rx-endpoint&gt;"</f>
        <v/>
      </c>
    </row>
    <row r="56">
      <c r="A56" s="3" t="inlineStr">
        <is>
          <t xml:space="preserve">        &lt;/low-level-rx-links&gt;</t>
        </is>
      </c>
    </row>
    <row r="59">
      <c r="A59" s="1" t="inlineStr">
        <is>
          <t xml:space="preserve">        &lt;low-level-rx-endpoints&gt;</t>
        </is>
      </c>
    </row>
    <row r="60">
      <c r="A60" s="8">
        <f>"            &lt;name&gt;"&amp;'Control-Sheet'!$C35&amp;"&lt;/name&gt;"</f>
        <v/>
      </c>
    </row>
    <row r="61">
      <c r="A61" s="1" t="inlineStr">
        <is>
          <t xml:space="preserve">          &lt;compression&gt;</t>
        </is>
      </c>
    </row>
    <row r="62">
      <c r="A62" s="1" t="inlineStr">
        <is>
          <t xml:space="preserve">            &lt;compression-type&gt;STATIC&lt;/compression-type&gt;</t>
        </is>
      </c>
    </row>
    <row r="63">
      <c r="A63" s="1" t="inlineStr">
        <is>
          <t xml:space="preserve">            &lt;iq-bitwidth&gt;16&lt;/iq-bitwidth&gt;</t>
        </is>
      </c>
    </row>
    <row r="64">
      <c r="A64" s="1" t="inlineStr">
        <is>
          <t xml:space="preserve">          &lt;/compression&gt;</t>
        </is>
      </c>
    </row>
    <row r="65">
      <c r="A65" s="1" t="inlineStr">
        <is>
          <t xml:space="preserve">          &lt;frame-structure&gt;160&lt;/frame-structure&gt;</t>
        </is>
      </c>
    </row>
    <row r="66">
      <c r="A66" s="1" t="inlineStr">
        <is>
          <t xml:space="preserve">          &lt;cp-type&gt;NORMAL&lt;/cp-type&gt;</t>
        </is>
      </c>
    </row>
    <row r="67">
      <c r="A67" s="1" t="inlineStr">
        <is>
          <t xml:space="preserve">          &lt;cp-length&gt;160&lt;/cp-length&gt;</t>
        </is>
      </c>
    </row>
    <row r="68">
      <c r="A68" s="1" t="inlineStr">
        <is>
          <t xml:space="preserve">          &lt;cp-length-other&gt;144&lt;/cp-length-other&gt;</t>
        </is>
      </c>
    </row>
    <row r="69">
      <c r="A69" s="1" t="inlineStr">
        <is>
          <t xml:space="preserve">          &lt;offset-to-absolute-frequency-center&gt;0&lt;/offset-to-absolute-frequency-center&gt;</t>
        </is>
      </c>
    </row>
    <row r="70">
      <c r="A70" s="1" t="inlineStr">
        <is>
          <t xml:space="preserve">          &lt;number-of-prb-per-scs&gt;</t>
        </is>
      </c>
    </row>
    <row r="71">
      <c r="A71" s="8">
        <f>"            &lt;scs&gt;"&amp;'Control-Sheet'!$D35&amp;"&lt;/scs&gt;"</f>
        <v/>
      </c>
    </row>
    <row r="72">
      <c r="A72" s="8">
        <f>"            &lt;number-of-prb&gt;"&amp;'Control-Sheet'!$E35&amp;"&lt;/number-of-prb&gt;"</f>
        <v/>
      </c>
    </row>
    <row r="73">
      <c r="A73" s="1" t="inlineStr">
        <is>
          <t xml:space="preserve">          &lt;/number-of-prb-per-scs&gt;</t>
        </is>
      </c>
    </row>
    <row r="74">
      <c r="A74" s="1" t="inlineStr">
        <is>
          <t xml:space="preserve">          &lt;ul-fft-sampling-offsets&gt;</t>
        </is>
      </c>
    </row>
    <row r="75">
      <c r="A75" s="8">
        <f>"            &lt;scs&gt;"&amp;'Control-Sheet'!$D35&amp;"&lt;/scs&gt;"</f>
        <v/>
      </c>
    </row>
    <row r="76">
      <c r="A76" s="8">
        <f>"            &lt;ul-fft-sampling-offset&gt;"&amp;'Control-Sheet'!$F35&amp;"&lt;/ul-fft-sampling-offset&gt;"</f>
        <v/>
      </c>
    </row>
    <row r="77">
      <c r="A77" s="1" t="inlineStr">
        <is>
          <t xml:space="preserve">          &lt;/ul-fft-sampling-offsets&gt;</t>
        </is>
      </c>
    </row>
    <row r="78">
      <c r="A78" s="1" t="inlineStr">
        <is>
          <t xml:space="preserve">          &lt;e-axcid&gt;</t>
        </is>
      </c>
    </row>
    <row r="79">
      <c r="A79" s="1" t="inlineStr">
        <is>
          <t xml:space="preserve">            &lt;o-du-port-bitmask&gt;49152&lt;/o-du-port-bitmask&gt;</t>
        </is>
      </c>
    </row>
    <row r="80">
      <c r="A80" s="1" t="inlineStr">
        <is>
          <t xml:space="preserve">            &lt;band-sector-bitmask&gt;12288&lt;/band-sector-bitmask&gt;</t>
        </is>
      </c>
    </row>
    <row r="81">
      <c r="A81" s="1" t="inlineStr">
        <is>
          <t xml:space="preserve">            &lt;ccid-bitmask&gt;3840&lt;/ccid-bitmask&gt;</t>
        </is>
      </c>
    </row>
    <row r="82">
      <c r="A82" s="1" t="inlineStr">
        <is>
          <t xml:space="preserve">            &lt;ru-port-bitmask&gt;255&lt;/ru-port-bitmask&gt;</t>
        </is>
      </c>
    </row>
    <row r="83">
      <c r="A83" s="8">
        <f>"            &lt;eaxc-id&gt;"&amp;'Control-Sheet'!$G35&amp;"&lt;/eaxc-id&gt;"</f>
        <v/>
      </c>
    </row>
    <row r="84">
      <c r="A84" s="1" t="inlineStr">
        <is>
          <t xml:space="preserve">          &lt;/e-axcid&gt;</t>
        </is>
      </c>
    </row>
    <row r="85">
      <c r="A85" s="1" t="inlineStr">
        <is>
          <t xml:space="preserve">        &lt;/low-level-rx-endpoints&gt;</t>
        </is>
      </c>
    </row>
    <row r="86">
      <c r="A86" s="2" t="inlineStr">
        <is>
          <t xml:space="preserve">        &lt;rx-array-carriers&gt;</t>
        </is>
      </c>
    </row>
    <row r="87">
      <c r="A87" s="30">
        <f>"          &lt;name&gt;"&amp;'Control-Sheet'!$L35&amp;"&lt;/name&gt;"</f>
        <v/>
      </c>
    </row>
    <row r="88">
      <c r="A88" s="2" t="inlineStr">
        <is>
          <t xml:space="preserve">          &lt;absolute-frequency-center&gt;0&lt;/absolute-frequency-center&gt;</t>
        </is>
      </c>
    </row>
    <row r="89">
      <c r="A89" s="30">
        <f>"          &lt;center-of-channel-bandwidth&gt;"&amp;'Control-Sheet'!$M35*10^6&amp;"&lt;/center-of-channel-bandwidth&gt;"</f>
        <v/>
      </c>
    </row>
    <row r="90">
      <c r="A90" s="30">
        <f>"          &lt;channel-bandwidth&gt;"&amp;'Control-Sheet'!$N35*10^6&amp;"&lt;/channel-bandwidth&gt;"</f>
        <v/>
      </c>
    </row>
    <row r="91">
      <c r="A91" s="2" t="inlineStr">
        <is>
          <t xml:space="preserve">          &lt;active&gt;INACTIVE&lt;/active&gt;</t>
        </is>
      </c>
    </row>
    <row r="92">
      <c r="A92" s="30">
        <f>"          &lt;type&gt;"&amp;'Control-Sheet'!$O35&amp;"&lt;/type&gt;"</f>
        <v/>
      </c>
    </row>
    <row r="93">
      <c r="A93" s="30">
        <f>"          &lt;n-ta-offset&gt;"&amp;'Control-Sheet'!$P35&amp;"&lt;/n-ta-offset&gt;"</f>
        <v/>
      </c>
    </row>
    <row r="94">
      <c r="A94" s="2" t="inlineStr">
        <is>
          <t xml:space="preserve">          &lt;gain-correction&gt;0&lt;/gain-correction&gt;</t>
        </is>
      </c>
    </row>
    <row r="95">
      <c r="A95" s="2" t="inlineStr">
        <is>
          <t xml:space="preserve">          &lt;downlink-radio-frame-offset&gt;0&lt;/downlink-radio-frame-offset&gt;</t>
        </is>
      </c>
    </row>
    <row r="96">
      <c r="A96" s="2" t="inlineStr">
        <is>
          <t xml:space="preserve">          &lt;downlink-sfn-offset&gt;0&lt;/downlink-sfn-offset&gt;</t>
        </is>
      </c>
    </row>
    <row r="97">
      <c r="A97" s="2" t="inlineStr">
        <is>
          <t xml:space="preserve">        &lt;/rx-array-carriers&gt;</t>
        </is>
      </c>
    </row>
    <row r="98">
      <c r="A98" s="3" t="inlineStr">
        <is>
          <t xml:space="preserve">        &lt;low-level-rx-links&gt;</t>
        </is>
      </c>
    </row>
    <row r="99">
      <c r="A99" s="32">
        <f>"          &lt;name&gt;"&amp;'Control-Sheet'!$H35&amp;"&lt;/name&gt;"</f>
        <v/>
      </c>
    </row>
    <row r="100">
      <c r="A100" s="32">
        <f>"          &lt;processing-element&gt;"&amp;'Control-Sheet'!$I35&amp;"&lt;/processing-element&gt;"</f>
        <v/>
      </c>
    </row>
    <row r="101">
      <c r="A101" s="32">
        <f>"          &lt;rx-array-carrier&gt;"&amp;'Control-Sheet'!$J35&amp;"&lt;/rx-array-carrier&gt;"</f>
        <v/>
      </c>
    </row>
    <row r="102">
      <c r="A102" s="32">
        <f>"          &lt;low-level-rx-endpoint&gt;"&amp;'Control-Sheet'!$K35&amp;"&lt;/low-level-rx-endpoint&gt;"</f>
        <v/>
      </c>
    </row>
    <row r="103">
      <c r="A103" s="3" t="inlineStr">
        <is>
          <t xml:space="preserve">        &lt;/low-level-rx-links&gt;</t>
        </is>
      </c>
    </row>
    <row r="106">
      <c r="A106" s="1" t="inlineStr">
        <is>
          <t xml:space="preserve">        &lt;low-level-rx-endpoints&gt;</t>
        </is>
      </c>
    </row>
    <row r="107">
      <c r="A107" s="8">
        <f>"            &lt;name&gt;"&amp;'Control-Sheet'!$C36&amp;"&lt;/name&gt;"</f>
        <v/>
      </c>
    </row>
    <row r="108">
      <c r="A108" s="1" t="inlineStr">
        <is>
          <t xml:space="preserve">          &lt;compression&gt;</t>
        </is>
      </c>
    </row>
    <row r="109">
      <c r="A109" s="1" t="inlineStr">
        <is>
          <t xml:space="preserve">            &lt;compression-type&gt;STATIC&lt;/compression-type&gt;</t>
        </is>
      </c>
    </row>
    <row r="110">
      <c r="A110" s="1" t="inlineStr">
        <is>
          <t xml:space="preserve">            &lt;iq-bitwidth&gt;16&lt;/iq-bitwidth&gt;</t>
        </is>
      </c>
    </row>
    <row r="111">
      <c r="A111" s="1" t="inlineStr">
        <is>
          <t xml:space="preserve">          &lt;/compression&gt;</t>
        </is>
      </c>
    </row>
    <row r="112">
      <c r="A112" s="1" t="inlineStr">
        <is>
          <t xml:space="preserve">          &lt;frame-structure&gt;160&lt;/frame-structure&gt;</t>
        </is>
      </c>
    </row>
    <row r="113">
      <c r="A113" s="1" t="inlineStr">
        <is>
          <t xml:space="preserve">          &lt;cp-type&gt;NORMAL&lt;/cp-type&gt;</t>
        </is>
      </c>
    </row>
    <row r="114">
      <c r="A114" s="1" t="inlineStr">
        <is>
          <t xml:space="preserve">          &lt;cp-length&gt;160&lt;/cp-length&gt;</t>
        </is>
      </c>
    </row>
    <row r="115">
      <c r="A115" s="1" t="inlineStr">
        <is>
          <t xml:space="preserve">          &lt;cp-length-other&gt;144&lt;/cp-length-other&gt;</t>
        </is>
      </c>
    </row>
    <row r="116">
      <c r="A116" s="1" t="inlineStr">
        <is>
          <t xml:space="preserve">          &lt;offset-to-absolute-frequency-center&gt;0&lt;/offset-to-absolute-frequency-center&gt;</t>
        </is>
      </c>
    </row>
    <row r="117">
      <c r="A117" s="1" t="inlineStr">
        <is>
          <t xml:space="preserve">          &lt;number-of-prb-per-scs&gt;</t>
        </is>
      </c>
    </row>
    <row r="118">
      <c r="A118" s="8">
        <f>"            &lt;scs&gt;"&amp;'Control-Sheet'!$D36&amp;"&lt;/scs&gt;"</f>
        <v/>
      </c>
    </row>
    <row r="119">
      <c r="A119" s="8">
        <f>"            &lt;number-of-prb&gt;"&amp;'Control-Sheet'!$E36&amp;"&lt;/number-of-prb&gt;"</f>
        <v/>
      </c>
    </row>
    <row r="120">
      <c r="A120" s="1" t="inlineStr">
        <is>
          <t xml:space="preserve">          &lt;/number-of-prb-per-scs&gt;</t>
        </is>
      </c>
    </row>
    <row r="121">
      <c r="A121" s="1" t="inlineStr">
        <is>
          <t xml:space="preserve">          &lt;ul-fft-sampling-offsets&gt;</t>
        </is>
      </c>
    </row>
    <row r="122">
      <c r="A122" s="8">
        <f>"            &lt;scs&gt;"&amp;'Control-Sheet'!$D36&amp;"&lt;/scs&gt;"</f>
        <v/>
      </c>
    </row>
    <row r="123">
      <c r="A123" s="8">
        <f>"            &lt;ul-fft-sampling-offset&gt;"&amp;'Control-Sheet'!$F36&amp;"&lt;/ul-fft-sampling-offset&gt;"</f>
        <v/>
      </c>
    </row>
    <row r="124">
      <c r="A124" s="1" t="inlineStr">
        <is>
          <t xml:space="preserve">          &lt;/ul-fft-sampling-offsets&gt;</t>
        </is>
      </c>
    </row>
    <row r="125">
      <c r="A125" s="1" t="inlineStr">
        <is>
          <t xml:space="preserve">          &lt;e-axcid&gt;</t>
        </is>
      </c>
    </row>
    <row r="126">
      <c r="A126" s="1" t="inlineStr">
        <is>
          <t xml:space="preserve">            &lt;o-du-port-bitmask&gt;49152&lt;/o-du-port-bitmask&gt;</t>
        </is>
      </c>
    </row>
    <row r="127">
      <c r="A127" s="1" t="inlineStr">
        <is>
          <t xml:space="preserve">            &lt;band-sector-bitmask&gt;12288&lt;/band-sector-bitmask&gt;</t>
        </is>
      </c>
    </row>
    <row r="128">
      <c r="A128" s="1" t="inlineStr">
        <is>
          <t xml:space="preserve">            &lt;ccid-bitmask&gt;3840&lt;/ccid-bitmask&gt;</t>
        </is>
      </c>
    </row>
    <row r="129">
      <c r="A129" s="1" t="inlineStr">
        <is>
          <t xml:space="preserve">            &lt;ru-port-bitmask&gt;255&lt;/ru-port-bitmask&gt;</t>
        </is>
      </c>
    </row>
    <row r="130">
      <c r="A130" s="8">
        <f>"            &lt;eaxc-id&gt;"&amp;'Control-Sheet'!$G36&amp;"&lt;/eaxc-id&gt;"</f>
        <v/>
      </c>
    </row>
    <row r="131">
      <c r="A131" s="1" t="inlineStr">
        <is>
          <t xml:space="preserve">          &lt;/e-axcid&gt;</t>
        </is>
      </c>
    </row>
    <row r="132">
      <c r="A132" s="1" t="inlineStr">
        <is>
          <t xml:space="preserve">        &lt;/low-level-rx-endpoints&gt;</t>
        </is>
      </c>
    </row>
    <row r="133">
      <c r="A133" s="2" t="inlineStr">
        <is>
          <t xml:space="preserve">        &lt;rx-array-carriers&gt;</t>
        </is>
      </c>
    </row>
    <row r="134">
      <c r="A134" s="30">
        <f>"          &lt;name&gt;"&amp;'Control-Sheet'!$L36&amp;"&lt;/name&gt;"</f>
        <v/>
      </c>
    </row>
    <row r="135">
      <c r="A135" s="2" t="inlineStr">
        <is>
          <t xml:space="preserve">          &lt;absolute-frequency-center&gt;0&lt;/absolute-frequency-center&gt;</t>
        </is>
      </c>
    </row>
    <row r="136">
      <c r="A136" s="30">
        <f>"          &lt;center-of-channel-bandwidth&gt;"&amp;'Control-Sheet'!$M36*10^6&amp;"&lt;/center-of-channel-bandwidth&gt;"</f>
        <v/>
      </c>
    </row>
    <row r="137">
      <c r="A137" s="30">
        <f>"          &lt;channel-bandwidth&gt;"&amp;'Control-Sheet'!$N36*10^6&amp;"&lt;/channel-bandwidth&gt;"</f>
        <v/>
      </c>
    </row>
    <row r="138">
      <c r="A138" s="2" t="inlineStr">
        <is>
          <t xml:space="preserve">          &lt;active&gt;INACTIVE&lt;/active&gt;</t>
        </is>
      </c>
    </row>
    <row r="139">
      <c r="A139" s="30">
        <f>"          &lt;type&gt;"&amp;'Control-Sheet'!$O36&amp;"&lt;/type&gt;"</f>
        <v/>
      </c>
    </row>
    <row r="140">
      <c r="A140" s="30">
        <f>"          &lt;n-ta-offset&gt;"&amp;'Control-Sheet'!$P36&amp;"&lt;/n-ta-offset&gt;"</f>
        <v/>
      </c>
    </row>
    <row r="141">
      <c r="A141" s="2" t="inlineStr">
        <is>
          <t xml:space="preserve">          &lt;gain-correction&gt;0&lt;/gain-correction&gt;</t>
        </is>
      </c>
    </row>
    <row r="142">
      <c r="A142" s="2" t="inlineStr">
        <is>
          <t xml:space="preserve">          &lt;downlink-radio-frame-offset&gt;0&lt;/downlink-radio-frame-offset&gt;</t>
        </is>
      </c>
    </row>
    <row r="143">
      <c r="A143" s="2" t="inlineStr">
        <is>
          <t xml:space="preserve">          &lt;downlink-sfn-offset&gt;0&lt;/downlink-sfn-offset&gt;</t>
        </is>
      </c>
    </row>
    <row r="144">
      <c r="A144" s="2" t="inlineStr">
        <is>
          <t xml:space="preserve">        &lt;/rx-array-carriers&gt;</t>
        </is>
      </c>
    </row>
    <row r="145">
      <c r="A145" s="3" t="inlineStr">
        <is>
          <t xml:space="preserve">        &lt;low-level-rx-links&gt;</t>
        </is>
      </c>
    </row>
    <row r="146">
      <c r="A146" s="32">
        <f>"          &lt;name&gt;"&amp;'Control-Sheet'!$H36&amp;"&lt;/name&gt;"</f>
        <v/>
      </c>
    </row>
    <row r="147">
      <c r="A147" s="32">
        <f>"          &lt;processing-element&gt;"&amp;'Control-Sheet'!$I36&amp;"&lt;/processing-element&gt;"</f>
        <v/>
      </c>
    </row>
    <row r="148">
      <c r="A148" s="32">
        <f>"          &lt;rx-array-carrier&gt;"&amp;'Control-Sheet'!$J36&amp;"&lt;/rx-array-carrier&gt;"</f>
        <v/>
      </c>
    </row>
    <row r="149">
      <c r="A149" s="32">
        <f>"          &lt;low-level-rx-endpoint&gt;"&amp;'Control-Sheet'!$K36&amp;"&lt;/low-level-rx-endpoint&gt;"</f>
        <v/>
      </c>
    </row>
    <row r="150">
      <c r="A150" s="3" t="inlineStr">
        <is>
          <t xml:space="preserve">        &lt;/low-level-rx-links&gt;</t>
        </is>
      </c>
    </row>
    <row r="153">
      <c r="A153" s="1" t="inlineStr">
        <is>
          <t xml:space="preserve">        &lt;low-level-rx-endpoints&gt;</t>
        </is>
      </c>
    </row>
    <row r="154">
      <c r="A154" s="8">
        <f>"            &lt;name&gt;"&amp;'Control-Sheet'!$C37&amp;"&lt;/name&gt;"</f>
        <v/>
      </c>
    </row>
    <row r="155">
      <c r="A155" s="1" t="inlineStr">
        <is>
          <t xml:space="preserve">          &lt;compression&gt;</t>
        </is>
      </c>
    </row>
    <row r="156">
      <c r="A156" s="1" t="inlineStr">
        <is>
          <t xml:space="preserve">            &lt;compression-type&gt;STATIC&lt;/compression-type&gt;</t>
        </is>
      </c>
    </row>
    <row r="157">
      <c r="A157" s="1" t="inlineStr">
        <is>
          <t xml:space="preserve">            &lt;iq-bitwidth&gt;16&lt;/iq-bitwidth&gt;</t>
        </is>
      </c>
    </row>
    <row r="158">
      <c r="A158" s="1" t="inlineStr">
        <is>
          <t xml:space="preserve">          &lt;/compression&gt;</t>
        </is>
      </c>
    </row>
    <row r="159">
      <c r="A159" s="1" t="inlineStr">
        <is>
          <t xml:space="preserve">          &lt;frame-structure&gt;160&lt;/frame-structure&gt;</t>
        </is>
      </c>
    </row>
    <row r="160">
      <c r="A160" s="1" t="inlineStr">
        <is>
          <t xml:space="preserve">          &lt;cp-type&gt;NORMAL&lt;/cp-type&gt;</t>
        </is>
      </c>
    </row>
    <row r="161">
      <c r="A161" s="1" t="inlineStr">
        <is>
          <t xml:space="preserve">          &lt;cp-length&gt;160&lt;/cp-length&gt;</t>
        </is>
      </c>
    </row>
    <row r="162">
      <c r="A162" s="1" t="inlineStr">
        <is>
          <t xml:space="preserve">          &lt;cp-length-other&gt;144&lt;/cp-length-other&gt;</t>
        </is>
      </c>
    </row>
    <row r="163">
      <c r="A163" s="1" t="inlineStr">
        <is>
          <t xml:space="preserve">          &lt;offset-to-absolute-frequency-center&gt;0&lt;/offset-to-absolute-frequency-center&gt;</t>
        </is>
      </c>
    </row>
    <row r="164">
      <c r="A164" s="1" t="inlineStr">
        <is>
          <t xml:space="preserve">          &lt;number-of-prb-per-scs&gt;</t>
        </is>
      </c>
    </row>
    <row r="165">
      <c r="A165" s="8">
        <f>"            &lt;scs&gt;"&amp;'Control-Sheet'!$D37&amp;"&lt;/scs&gt;"</f>
        <v/>
      </c>
    </row>
    <row r="166">
      <c r="A166" s="8">
        <f>"            &lt;number-of-prb&gt;"&amp;'Control-Sheet'!$E37&amp;"&lt;/number-of-prb&gt;"</f>
        <v/>
      </c>
    </row>
    <row r="167">
      <c r="A167" s="1" t="inlineStr">
        <is>
          <t xml:space="preserve">          &lt;/number-of-prb-per-scs&gt;</t>
        </is>
      </c>
    </row>
    <row r="168">
      <c r="A168" s="1" t="inlineStr">
        <is>
          <t xml:space="preserve">          &lt;ul-fft-sampling-offsets&gt;</t>
        </is>
      </c>
    </row>
    <row r="169">
      <c r="A169" s="8">
        <f>"            &lt;scs&gt;"&amp;'Control-Sheet'!$D37&amp;"&lt;/scs&gt;"</f>
        <v/>
      </c>
    </row>
    <row r="170">
      <c r="A170" s="8">
        <f>"            &lt;ul-fft-sampling-offset&gt;"&amp;'Control-Sheet'!$F37&amp;"&lt;/ul-fft-sampling-offset&gt;"</f>
        <v/>
      </c>
    </row>
    <row r="171">
      <c r="A171" s="1" t="inlineStr">
        <is>
          <t xml:space="preserve">          &lt;/ul-fft-sampling-offsets&gt;</t>
        </is>
      </c>
    </row>
    <row r="172">
      <c r="A172" s="1" t="inlineStr">
        <is>
          <t xml:space="preserve">          &lt;e-axcid&gt;</t>
        </is>
      </c>
    </row>
    <row r="173">
      <c r="A173" s="1" t="inlineStr">
        <is>
          <t xml:space="preserve">            &lt;o-du-port-bitmask&gt;49152&lt;/o-du-port-bitmask&gt;</t>
        </is>
      </c>
    </row>
    <row r="174">
      <c r="A174" s="1" t="inlineStr">
        <is>
          <t xml:space="preserve">            &lt;band-sector-bitmask&gt;12288&lt;/band-sector-bitmask&gt;</t>
        </is>
      </c>
    </row>
    <row r="175">
      <c r="A175" s="1" t="inlineStr">
        <is>
          <t xml:space="preserve">            &lt;ccid-bitmask&gt;3840&lt;/ccid-bitmask&gt;</t>
        </is>
      </c>
    </row>
    <row r="176">
      <c r="A176" s="1" t="inlineStr">
        <is>
          <t xml:space="preserve">            &lt;ru-port-bitmask&gt;255&lt;/ru-port-bitmask&gt;</t>
        </is>
      </c>
    </row>
    <row r="177">
      <c r="A177" s="8">
        <f>"            &lt;eaxc-id&gt;"&amp;'Control-Sheet'!$G37&amp;"&lt;/eaxc-id&gt;"</f>
        <v/>
      </c>
    </row>
    <row r="178">
      <c r="A178" s="1" t="inlineStr">
        <is>
          <t xml:space="preserve">          &lt;/e-axcid&gt;</t>
        </is>
      </c>
    </row>
    <row r="179">
      <c r="A179" s="1" t="inlineStr">
        <is>
          <t xml:space="preserve">        &lt;/low-level-rx-endpoints&gt;</t>
        </is>
      </c>
    </row>
    <row r="180">
      <c r="A180" s="2" t="inlineStr">
        <is>
          <t xml:space="preserve">        &lt;rx-array-carriers&gt;</t>
        </is>
      </c>
    </row>
    <row r="181">
      <c r="A181" s="30">
        <f>"          &lt;name&gt;"&amp;'Control-Sheet'!$L37&amp;"&lt;/name&gt;"</f>
        <v/>
      </c>
    </row>
    <row r="182">
      <c r="A182" s="2" t="inlineStr">
        <is>
          <t xml:space="preserve">          &lt;absolute-frequency-center&gt;0&lt;/absolute-frequency-center&gt;</t>
        </is>
      </c>
    </row>
    <row r="183">
      <c r="A183" s="30">
        <f>"          &lt;center-of-channel-bandwidth&gt;"&amp;'Control-Sheet'!$M37*10^6&amp;"&lt;/center-of-channel-bandwidth&gt;"</f>
        <v/>
      </c>
    </row>
    <row r="184">
      <c r="A184" s="30">
        <f>"          &lt;channel-bandwidth&gt;"&amp;'Control-Sheet'!$N37*10^6&amp;"&lt;/channel-bandwidth&gt;"</f>
        <v/>
      </c>
    </row>
    <row r="185">
      <c r="A185" s="2" t="inlineStr">
        <is>
          <t xml:space="preserve">          &lt;active&gt;INACTIVE&lt;/active&gt;</t>
        </is>
      </c>
    </row>
    <row r="186">
      <c r="A186" s="30">
        <f>"          &lt;type&gt;"&amp;'Control-Sheet'!$O37&amp;"&lt;/type&gt;"</f>
        <v/>
      </c>
    </row>
    <row r="187">
      <c r="A187" s="30">
        <f>"          &lt;n-ta-offset&gt;"&amp;'Control-Sheet'!$P37&amp;"&lt;/n-ta-offset&gt;"</f>
        <v/>
      </c>
    </row>
    <row r="188">
      <c r="A188" s="2" t="inlineStr">
        <is>
          <t xml:space="preserve">          &lt;gain-correction&gt;0&lt;/gain-correction&gt;</t>
        </is>
      </c>
    </row>
    <row r="189">
      <c r="A189" s="2" t="inlineStr">
        <is>
          <t xml:space="preserve">          &lt;downlink-radio-frame-offset&gt;0&lt;/downlink-radio-frame-offset&gt;</t>
        </is>
      </c>
    </row>
    <row r="190">
      <c r="A190" s="2" t="inlineStr">
        <is>
          <t xml:space="preserve">          &lt;downlink-sfn-offset&gt;0&lt;/downlink-sfn-offset&gt;</t>
        </is>
      </c>
    </row>
    <row r="191">
      <c r="A191" s="2" t="inlineStr">
        <is>
          <t xml:space="preserve">        &lt;/rx-array-carriers&gt;</t>
        </is>
      </c>
    </row>
    <row r="192">
      <c r="A192" s="3" t="inlineStr">
        <is>
          <t xml:space="preserve">        &lt;low-level-rx-links&gt;</t>
        </is>
      </c>
    </row>
    <row r="193">
      <c r="A193" s="32">
        <f>"          &lt;name&gt;"&amp;'Control-Sheet'!$H37&amp;"&lt;/name&gt;"</f>
        <v/>
      </c>
    </row>
    <row r="194">
      <c r="A194" s="32">
        <f>"          &lt;processing-element&gt;"&amp;'Control-Sheet'!$I37&amp;"&lt;/processing-element&gt;"</f>
        <v/>
      </c>
    </row>
    <row r="195">
      <c r="A195" s="32">
        <f>"          &lt;rx-array-carrier&gt;"&amp;'Control-Sheet'!$J37&amp;"&lt;/rx-array-carrier&gt;"</f>
        <v/>
      </c>
    </row>
    <row r="196">
      <c r="A196" s="32">
        <f>"          &lt;low-level-rx-endpoint&gt;"&amp;'Control-Sheet'!$K37&amp;"&lt;/low-level-rx-endpoint&gt;"</f>
        <v/>
      </c>
    </row>
    <row r="197">
      <c r="A197" s="3" t="inlineStr">
        <is>
          <t xml:space="preserve">        &lt;/low-level-rx-links&gt;</t>
        </is>
      </c>
    </row>
    <row r="200">
      <c r="A200" s="1" t="inlineStr">
        <is>
          <t xml:space="preserve">        &lt;low-level-rx-endpoints&gt;</t>
        </is>
      </c>
    </row>
    <row r="201">
      <c r="A201" s="8">
        <f>"            &lt;name&gt;"&amp;'Control-Sheet'!$C38&amp;"&lt;/name&gt;"</f>
        <v/>
      </c>
    </row>
    <row r="202">
      <c r="A202" s="1" t="inlineStr">
        <is>
          <t xml:space="preserve">          &lt;compression&gt;</t>
        </is>
      </c>
    </row>
    <row r="203">
      <c r="A203" s="1" t="inlineStr">
        <is>
          <t xml:space="preserve">            &lt;compression-type&gt;STATIC&lt;/compression-type&gt;</t>
        </is>
      </c>
    </row>
    <row r="204">
      <c r="A204" s="1" t="inlineStr">
        <is>
          <t xml:space="preserve">            &lt;iq-bitwidth&gt;16&lt;/iq-bitwidth&gt;</t>
        </is>
      </c>
    </row>
    <row r="205">
      <c r="A205" s="1" t="inlineStr">
        <is>
          <t xml:space="preserve">          &lt;/compression&gt;</t>
        </is>
      </c>
    </row>
    <row r="206">
      <c r="A206" s="1" t="inlineStr">
        <is>
          <t xml:space="preserve">          &lt;frame-structure&gt;160&lt;/frame-structure&gt;</t>
        </is>
      </c>
    </row>
    <row r="207">
      <c r="A207" s="1" t="inlineStr">
        <is>
          <t xml:space="preserve">          &lt;cp-type&gt;NORMAL&lt;/cp-type&gt;</t>
        </is>
      </c>
    </row>
    <row r="208">
      <c r="A208" s="1" t="inlineStr">
        <is>
          <t xml:space="preserve">          &lt;cp-length&gt;160&lt;/cp-length&gt;</t>
        </is>
      </c>
    </row>
    <row r="209">
      <c r="A209" s="1" t="inlineStr">
        <is>
          <t xml:space="preserve">          &lt;cp-length-other&gt;144&lt;/cp-length-other&gt;</t>
        </is>
      </c>
    </row>
    <row r="210">
      <c r="A210" s="1" t="inlineStr">
        <is>
          <t xml:space="preserve">          &lt;offset-to-absolute-frequency-center&gt;0&lt;/offset-to-absolute-frequency-center&gt;</t>
        </is>
      </c>
    </row>
    <row r="211">
      <c r="A211" s="1" t="inlineStr">
        <is>
          <t xml:space="preserve">          &lt;number-of-prb-per-scs&gt;</t>
        </is>
      </c>
    </row>
    <row r="212">
      <c r="A212" s="8">
        <f>"            &lt;scs&gt;"&amp;'Control-Sheet'!$D38&amp;"&lt;/scs&gt;"</f>
        <v/>
      </c>
    </row>
    <row r="213">
      <c r="A213" s="8">
        <f>"            &lt;number-of-prb&gt;"&amp;'Control-Sheet'!$E38&amp;"&lt;/number-of-prb&gt;"</f>
        <v/>
      </c>
    </row>
    <row r="214">
      <c r="A214" s="1" t="inlineStr">
        <is>
          <t xml:space="preserve">          &lt;/number-of-prb-per-scs&gt;</t>
        </is>
      </c>
    </row>
    <row r="215">
      <c r="A215" s="1" t="inlineStr">
        <is>
          <t xml:space="preserve">          &lt;ul-fft-sampling-offsets&gt;</t>
        </is>
      </c>
    </row>
    <row r="216">
      <c r="A216" s="8">
        <f>"            &lt;scs&gt;"&amp;'Control-Sheet'!$D38&amp;"&lt;/scs&gt;"</f>
        <v/>
      </c>
    </row>
    <row r="217">
      <c r="A217" s="8">
        <f>"            &lt;ul-fft-sampling-offset&gt;"&amp;'Control-Sheet'!$F38&amp;"&lt;/ul-fft-sampling-offset&gt;"</f>
        <v/>
      </c>
    </row>
    <row r="218">
      <c r="A218" s="1" t="inlineStr">
        <is>
          <t xml:space="preserve">          &lt;/ul-fft-sampling-offsets&gt;</t>
        </is>
      </c>
    </row>
    <row r="219">
      <c r="A219" s="1" t="inlineStr">
        <is>
          <t xml:space="preserve">          &lt;e-axcid&gt;</t>
        </is>
      </c>
    </row>
    <row r="220">
      <c r="A220" s="1" t="inlineStr">
        <is>
          <t xml:space="preserve">            &lt;o-du-port-bitmask&gt;49152&lt;/o-du-port-bitmask&gt;</t>
        </is>
      </c>
    </row>
    <row r="221">
      <c r="A221" s="1" t="inlineStr">
        <is>
          <t xml:space="preserve">            &lt;band-sector-bitmask&gt;12288&lt;/band-sector-bitmask&gt;</t>
        </is>
      </c>
    </row>
    <row r="222">
      <c r="A222" s="1" t="inlineStr">
        <is>
          <t xml:space="preserve">            &lt;ccid-bitmask&gt;3840&lt;/ccid-bitmask&gt;</t>
        </is>
      </c>
    </row>
    <row r="223">
      <c r="A223" s="1" t="inlineStr">
        <is>
          <t xml:space="preserve">            &lt;ru-port-bitmask&gt;255&lt;/ru-port-bitmask&gt;</t>
        </is>
      </c>
    </row>
    <row r="224">
      <c r="A224" s="8">
        <f>"            &lt;eaxc-id&gt;"&amp;'Control-Sheet'!$G38&amp;"&lt;/eaxc-id&gt;"</f>
        <v/>
      </c>
    </row>
    <row r="225">
      <c r="A225" s="1" t="inlineStr">
        <is>
          <t xml:space="preserve">          &lt;/e-axcid&gt;</t>
        </is>
      </c>
    </row>
    <row r="226">
      <c r="A226" s="1" t="inlineStr">
        <is>
          <t xml:space="preserve">        &lt;/low-level-rx-endpoints&gt;</t>
        </is>
      </c>
    </row>
    <row r="227">
      <c r="A227" s="2" t="inlineStr">
        <is>
          <t xml:space="preserve">        &lt;rx-array-carriers&gt;</t>
        </is>
      </c>
    </row>
    <row r="228">
      <c r="A228" s="30">
        <f>"          &lt;name&gt;"&amp;'Control-Sheet'!$L38&amp;"&lt;/name&gt;"</f>
        <v/>
      </c>
    </row>
    <row r="229">
      <c r="A229" s="2" t="inlineStr">
        <is>
          <t xml:space="preserve">          &lt;absolute-frequency-center&gt;0&lt;/absolute-frequency-center&gt;</t>
        </is>
      </c>
    </row>
    <row r="230">
      <c r="A230" s="30">
        <f>"          &lt;center-of-channel-bandwidth&gt;"&amp;'Control-Sheet'!$M38*10^6&amp;"&lt;/center-of-channel-bandwidth&gt;"</f>
        <v/>
      </c>
    </row>
    <row r="231">
      <c r="A231" s="30">
        <f>"          &lt;channel-bandwidth&gt;"&amp;'Control-Sheet'!$N38*10^6&amp;"&lt;/channel-bandwidth&gt;"</f>
        <v/>
      </c>
    </row>
    <row r="232">
      <c r="A232" s="2" t="inlineStr">
        <is>
          <t xml:space="preserve">          &lt;active&gt;INACTIVE&lt;/active&gt;</t>
        </is>
      </c>
    </row>
    <row r="233">
      <c r="A233" s="30">
        <f>"          &lt;type&gt;"&amp;'Control-Sheet'!$O38&amp;"&lt;/type&gt;"</f>
        <v/>
      </c>
    </row>
    <row r="234">
      <c r="A234" s="30">
        <f>"          &lt;n-ta-offset&gt;"&amp;'Control-Sheet'!$P38&amp;"&lt;/n-ta-offset&gt;"</f>
        <v/>
      </c>
    </row>
    <row r="235">
      <c r="A235" s="2" t="inlineStr">
        <is>
          <t xml:space="preserve">          &lt;gain-correction&gt;0&lt;/gain-correction&gt;</t>
        </is>
      </c>
    </row>
    <row r="236">
      <c r="A236" s="2" t="inlineStr">
        <is>
          <t xml:space="preserve">          &lt;downlink-radio-frame-offset&gt;0&lt;/downlink-radio-frame-offset&gt;</t>
        </is>
      </c>
    </row>
    <row r="237">
      <c r="A237" s="2" t="inlineStr">
        <is>
          <t xml:space="preserve">          &lt;downlink-sfn-offset&gt;0&lt;/downlink-sfn-offset&gt;</t>
        </is>
      </c>
    </row>
    <row r="238">
      <c r="A238" s="2" t="inlineStr">
        <is>
          <t xml:space="preserve">        &lt;/rx-array-carriers&gt;</t>
        </is>
      </c>
    </row>
    <row r="239">
      <c r="A239" s="3" t="inlineStr">
        <is>
          <t xml:space="preserve">        &lt;low-level-rx-links&gt;</t>
        </is>
      </c>
    </row>
    <row r="240">
      <c r="A240" s="32">
        <f>"          &lt;name&gt;"&amp;'Control-Sheet'!$H38&amp;"&lt;/name&gt;"</f>
        <v/>
      </c>
    </row>
    <row r="241">
      <c r="A241" s="32">
        <f>"          &lt;processing-element&gt;"&amp;'Control-Sheet'!$I38&amp;"&lt;/processing-element&gt;"</f>
        <v/>
      </c>
    </row>
    <row r="242">
      <c r="A242" s="32">
        <f>"          &lt;rx-array-carrier&gt;"&amp;'Control-Sheet'!$J38&amp;"&lt;/rx-array-carrier&gt;"</f>
        <v/>
      </c>
    </row>
    <row r="243">
      <c r="A243" s="32">
        <f>"          &lt;low-level-rx-endpoint&gt;"&amp;'Control-Sheet'!$K38&amp;"&lt;/low-level-rx-endpoint&gt;"</f>
        <v/>
      </c>
    </row>
    <row r="244">
      <c r="A244" s="3" t="inlineStr">
        <is>
          <t xml:space="preserve">        &lt;/low-level-rx-links&gt;</t>
        </is>
      </c>
    </row>
    <row r="247">
      <c r="A247" s="1" t="inlineStr">
        <is>
          <t xml:space="preserve">        &lt;low-level-rx-endpoints&gt;</t>
        </is>
      </c>
    </row>
    <row r="248">
      <c r="A248" s="8">
        <f>"            &lt;name&gt;"&amp;'Control-Sheet'!$C39&amp;"&lt;/name&gt;"</f>
        <v/>
      </c>
    </row>
    <row r="249">
      <c r="A249" s="1" t="inlineStr">
        <is>
          <t xml:space="preserve">          &lt;compression&gt;</t>
        </is>
      </c>
    </row>
    <row r="250">
      <c r="A250" s="1" t="inlineStr">
        <is>
          <t xml:space="preserve">            &lt;compression-type&gt;STATIC&lt;/compression-type&gt;</t>
        </is>
      </c>
    </row>
    <row r="251">
      <c r="A251" s="1" t="inlineStr">
        <is>
          <t xml:space="preserve">            &lt;iq-bitwidth&gt;16&lt;/iq-bitwidth&gt;</t>
        </is>
      </c>
    </row>
    <row r="252">
      <c r="A252" s="1" t="inlineStr">
        <is>
          <t xml:space="preserve">          &lt;/compression&gt;</t>
        </is>
      </c>
    </row>
    <row r="253">
      <c r="A253" s="1" t="inlineStr">
        <is>
          <t xml:space="preserve">          &lt;frame-structure&gt;160&lt;/frame-structure&gt;</t>
        </is>
      </c>
    </row>
    <row r="254">
      <c r="A254" s="1" t="inlineStr">
        <is>
          <t xml:space="preserve">          &lt;cp-type&gt;NORMAL&lt;/cp-type&gt;</t>
        </is>
      </c>
    </row>
    <row r="255">
      <c r="A255" s="1" t="inlineStr">
        <is>
          <t xml:space="preserve">          &lt;cp-length&gt;160&lt;/cp-length&gt;</t>
        </is>
      </c>
    </row>
    <row r="256">
      <c r="A256" s="1" t="inlineStr">
        <is>
          <t xml:space="preserve">          &lt;cp-length-other&gt;144&lt;/cp-length-other&gt;</t>
        </is>
      </c>
    </row>
    <row r="257">
      <c r="A257" s="1" t="inlineStr">
        <is>
          <t xml:space="preserve">          &lt;offset-to-absolute-frequency-center&gt;0&lt;/offset-to-absolute-frequency-center&gt;</t>
        </is>
      </c>
    </row>
    <row r="258">
      <c r="A258" s="1" t="inlineStr">
        <is>
          <t xml:space="preserve">          &lt;number-of-prb-per-scs&gt;</t>
        </is>
      </c>
    </row>
    <row r="259">
      <c r="A259" s="8">
        <f>"            &lt;scs&gt;"&amp;'Control-Sheet'!$D39&amp;"&lt;/scs&gt;"</f>
        <v/>
      </c>
    </row>
    <row r="260">
      <c r="A260" s="8">
        <f>"            &lt;number-of-prb&gt;"&amp;'Control-Sheet'!$E39&amp;"&lt;/number-of-prb&gt;"</f>
        <v/>
      </c>
    </row>
    <row r="261">
      <c r="A261" s="1" t="inlineStr">
        <is>
          <t xml:space="preserve">          &lt;/number-of-prb-per-scs&gt;</t>
        </is>
      </c>
    </row>
    <row r="262">
      <c r="A262" s="1" t="inlineStr">
        <is>
          <t xml:space="preserve">          &lt;ul-fft-sampling-offsets&gt;</t>
        </is>
      </c>
    </row>
    <row r="263">
      <c r="A263" s="8">
        <f>"            &lt;scs&gt;"&amp;'Control-Sheet'!$D39&amp;"&lt;/scs&gt;"</f>
        <v/>
      </c>
    </row>
    <row r="264">
      <c r="A264" s="8">
        <f>"            &lt;ul-fft-sampling-offset&gt;"&amp;'Control-Sheet'!$F39&amp;"&lt;/ul-fft-sampling-offset&gt;"</f>
        <v/>
      </c>
    </row>
    <row r="265">
      <c r="A265" s="1" t="inlineStr">
        <is>
          <t xml:space="preserve">          &lt;/ul-fft-sampling-offsets&gt;</t>
        </is>
      </c>
    </row>
    <row r="266">
      <c r="A266" s="1" t="inlineStr">
        <is>
          <t xml:space="preserve">          &lt;e-axcid&gt;</t>
        </is>
      </c>
    </row>
    <row r="267">
      <c r="A267" s="1" t="inlineStr">
        <is>
          <t xml:space="preserve">            &lt;o-du-port-bitmask&gt;49152&lt;/o-du-port-bitmask&gt;</t>
        </is>
      </c>
    </row>
    <row r="268">
      <c r="A268" s="1" t="inlineStr">
        <is>
          <t xml:space="preserve">            &lt;band-sector-bitmask&gt;12288&lt;/band-sector-bitmask&gt;</t>
        </is>
      </c>
    </row>
    <row r="269">
      <c r="A269" s="1" t="inlineStr">
        <is>
          <t xml:space="preserve">            &lt;ccid-bitmask&gt;3840&lt;/ccid-bitmask&gt;</t>
        </is>
      </c>
    </row>
    <row r="270">
      <c r="A270" s="1" t="inlineStr">
        <is>
          <t xml:space="preserve">            &lt;ru-port-bitmask&gt;255&lt;/ru-port-bitmask&gt;</t>
        </is>
      </c>
    </row>
    <row r="271">
      <c r="A271" s="8">
        <f>"            &lt;eaxc-id&gt;"&amp;'Control-Sheet'!$G39&amp;"&lt;/eaxc-id&gt;"</f>
        <v/>
      </c>
    </row>
    <row r="272">
      <c r="A272" s="1" t="inlineStr">
        <is>
          <t xml:space="preserve">          &lt;/e-axcid&gt;</t>
        </is>
      </c>
    </row>
    <row r="273">
      <c r="A273" s="1" t="inlineStr">
        <is>
          <t xml:space="preserve">        &lt;/low-level-rx-endpoints&gt;</t>
        </is>
      </c>
    </row>
    <row r="274">
      <c r="A274" s="2" t="inlineStr">
        <is>
          <t xml:space="preserve">        &lt;rx-array-carriers&gt;</t>
        </is>
      </c>
    </row>
    <row r="275">
      <c r="A275" s="30">
        <f>"          &lt;name&gt;"&amp;'Control-Sheet'!$L39&amp;"&lt;/name&gt;"</f>
        <v/>
      </c>
    </row>
    <row r="276">
      <c r="A276" s="2" t="inlineStr">
        <is>
          <t xml:space="preserve">          &lt;absolute-frequency-center&gt;0&lt;/absolute-frequency-center&gt;</t>
        </is>
      </c>
    </row>
    <row r="277">
      <c r="A277" s="30">
        <f>"          &lt;center-of-channel-bandwidth&gt;"&amp;'Control-Sheet'!$M39*10^6&amp;"&lt;/center-of-channel-bandwidth&gt;"</f>
        <v/>
      </c>
    </row>
    <row r="278">
      <c r="A278" s="30">
        <f>"          &lt;channel-bandwidth&gt;"&amp;'Control-Sheet'!$N39*10^6&amp;"&lt;/channel-bandwidth&gt;"</f>
        <v/>
      </c>
    </row>
    <row r="279">
      <c r="A279" s="2" t="inlineStr">
        <is>
          <t xml:space="preserve">          &lt;active&gt;INACTIVE&lt;/active&gt;</t>
        </is>
      </c>
    </row>
    <row r="280">
      <c r="A280" s="30">
        <f>"          &lt;type&gt;"&amp;'Control-Sheet'!$O39&amp;"&lt;/type&gt;"</f>
        <v/>
      </c>
    </row>
    <row r="281">
      <c r="A281" s="30">
        <f>"          &lt;n-ta-offset&gt;"&amp;'Control-Sheet'!$P39&amp;"&lt;/n-ta-offset&gt;"</f>
        <v/>
      </c>
    </row>
    <row r="282">
      <c r="A282" s="2" t="inlineStr">
        <is>
          <t xml:space="preserve">          &lt;gain-correction&gt;0&lt;/gain-correction&gt;</t>
        </is>
      </c>
    </row>
    <row r="283">
      <c r="A283" s="2" t="inlineStr">
        <is>
          <t xml:space="preserve">          &lt;downlink-radio-frame-offset&gt;0&lt;/downlink-radio-frame-offset&gt;</t>
        </is>
      </c>
    </row>
    <row r="284">
      <c r="A284" s="2" t="inlineStr">
        <is>
          <t xml:space="preserve">          &lt;downlink-sfn-offset&gt;0&lt;/downlink-sfn-offset&gt;</t>
        </is>
      </c>
    </row>
    <row r="285">
      <c r="A285" s="2" t="inlineStr">
        <is>
          <t xml:space="preserve">        &lt;/rx-array-carriers&gt;</t>
        </is>
      </c>
    </row>
    <row r="286">
      <c r="A286" s="3" t="inlineStr">
        <is>
          <t xml:space="preserve">        &lt;low-level-rx-links&gt;</t>
        </is>
      </c>
    </row>
    <row r="287">
      <c r="A287" s="32">
        <f>"          &lt;name&gt;"&amp;'Control-Sheet'!$H39&amp;"&lt;/name&gt;"</f>
        <v/>
      </c>
    </row>
    <row r="288">
      <c r="A288" s="32">
        <f>"          &lt;processing-element&gt;"&amp;'Control-Sheet'!$I39&amp;"&lt;/processing-element&gt;"</f>
        <v/>
      </c>
    </row>
    <row r="289">
      <c r="A289" s="32">
        <f>"          &lt;rx-array-carrier&gt;"&amp;'Control-Sheet'!$J39&amp;"&lt;/rx-array-carrier&gt;"</f>
        <v/>
      </c>
    </row>
    <row r="290">
      <c r="A290" s="32">
        <f>"          &lt;low-level-rx-endpoint&gt;"&amp;'Control-Sheet'!$K39&amp;"&lt;/low-level-rx-endpoint&gt;"</f>
        <v/>
      </c>
    </row>
    <row r="291">
      <c r="A291" s="3" t="inlineStr">
        <is>
          <t xml:space="preserve">        &lt;/low-level-rx-links&gt;</t>
        </is>
      </c>
    </row>
    <row r="294">
      <c r="A294" s="1" t="inlineStr">
        <is>
          <t xml:space="preserve">        &lt;low-level-rx-endpoints&gt;</t>
        </is>
      </c>
    </row>
    <row r="295">
      <c r="A295" s="8">
        <f>"            &lt;name&gt;"&amp;'Control-Sheet'!$C40&amp;"&lt;/name&gt;"</f>
        <v/>
      </c>
    </row>
    <row r="296">
      <c r="A296" s="1" t="inlineStr">
        <is>
          <t xml:space="preserve">          &lt;compression&gt;</t>
        </is>
      </c>
    </row>
    <row r="297">
      <c r="A297" s="1" t="inlineStr">
        <is>
          <t xml:space="preserve">            &lt;compression-type&gt;STATIC&lt;/compression-type&gt;</t>
        </is>
      </c>
    </row>
    <row r="298">
      <c r="A298" s="1" t="inlineStr">
        <is>
          <t xml:space="preserve">            &lt;iq-bitwidth&gt;16&lt;/iq-bitwidth&gt;</t>
        </is>
      </c>
    </row>
    <row r="299">
      <c r="A299" s="1" t="inlineStr">
        <is>
          <t xml:space="preserve">          &lt;/compression&gt;</t>
        </is>
      </c>
    </row>
    <row r="300">
      <c r="A300" s="1" t="inlineStr">
        <is>
          <t xml:space="preserve">          &lt;frame-structure&gt;160&lt;/frame-structure&gt;</t>
        </is>
      </c>
    </row>
    <row r="301">
      <c r="A301" s="1" t="inlineStr">
        <is>
          <t xml:space="preserve">          &lt;cp-type&gt;NORMAL&lt;/cp-type&gt;</t>
        </is>
      </c>
    </row>
    <row r="302">
      <c r="A302" s="1" t="inlineStr">
        <is>
          <t xml:space="preserve">          &lt;cp-length&gt;160&lt;/cp-length&gt;</t>
        </is>
      </c>
    </row>
    <row r="303">
      <c r="A303" s="1" t="inlineStr">
        <is>
          <t xml:space="preserve">          &lt;cp-length-other&gt;144&lt;/cp-length-other&gt;</t>
        </is>
      </c>
    </row>
    <row r="304">
      <c r="A304" s="1" t="inlineStr">
        <is>
          <t xml:space="preserve">          &lt;offset-to-absolute-frequency-center&gt;0&lt;/offset-to-absolute-frequency-center&gt;</t>
        </is>
      </c>
    </row>
    <row r="305">
      <c r="A305" s="1" t="inlineStr">
        <is>
          <t xml:space="preserve">          &lt;number-of-prb-per-scs&gt;</t>
        </is>
      </c>
    </row>
    <row r="306">
      <c r="A306" s="8">
        <f>"            &lt;scs&gt;"&amp;'Control-Sheet'!$D40&amp;"&lt;/scs&gt;"</f>
        <v/>
      </c>
    </row>
    <row r="307">
      <c r="A307" s="8">
        <f>"            &lt;number-of-prb&gt;"&amp;'Control-Sheet'!$E40&amp;"&lt;/number-of-prb&gt;"</f>
        <v/>
      </c>
    </row>
    <row r="308">
      <c r="A308" s="1" t="inlineStr">
        <is>
          <t xml:space="preserve">          &lt;/number-of-prb-per-scs&gt;</t>
        </is>
      </c>
    </row>
    <row r="309">
      <c r="A309" s="1" t="inlineStr">
        <is>
          <t xml:space="preserve">          &lt;ul-fft-sampling-offsets&gt;</t>
        </is>
      </c>
    </row>
    <row r="310">
      <c r="A310" s="8">
        <f>"            &lt;scs&gt;"&amp;'Control-Sheet'!$D40&amp;"&lt;/scs&gt;"</f>
        <v/>
      </c>
    </row>
    <row r="311">
      <c r="A311" s="8">
        <f>"            &lt;ul-fft-sampling-offset&gt;"&amp;'Control-Sheet'!$F40&amp;"&lt;/ul-fft-sampling-offset&gt;"</f>
        <v/>
      </c>
    </row>
    <row r="312">
      <c r="A312" s="1" t="inlineStr">
        <is>
          <t xml:space="preserve">          &lt;/ul-fft-sampling-offsets&gt;</t>
        </is>
      </c>
    </row>
    <row r="313">
      <c r="A313" s="1" t="inlineStr">
        <is>
          <t xml:space="preserve">          &lt;e-axcid&gt;</t>
        </is>
      </c>
    </row>
    <row r="314">
      <c r="A314" s="1" t="inlineStr">
        <is>
          <t xml:space="preserve">            &lt;o-du-port-bitmask&gt;49152&lt;/o-du-port-bitmask&gt;</t>
        </is>
      </c>
    </row>
    <row r="315">
      <c r="A315" s="1" t="inlineStr">
        <is>
          <t xml:space="preserve">            &lt;band-sector-bitmask&gt;12288&lt;/band-sector-bitmask&gt;</t>
        </is>
      </c>
    </row>
    <row r="316">
      <c r="A316" s="1" t="inlineStr">
        <is>
          <t xml:space="preserve">            &lt;ccid-bitmask&gt;3840&lt;/ccid-bitmask&gt;</t>
        </is>
      </c>
    </row>
    <row r="317">
      <c r="A317" s="1" t="inlineStr">
        <is>
          <t xml:space="preserve">            &lt;ru-port-bitmask&gt;255&lt;/ru-port-bitmask&gt;</t>
        </is>
      </c>
    </row>
    <row r="318">
      <c r="A318" s="8">
        <f>"            &lt;eaxc-id&gt;"&amp;'Control-Sheet'!$G40&amp;"&lt;/eaxc-id&gt;"</f>
        <v/>
      </c>
    </row>
    <row r="319">
      <c r="A319" s="1" t="inlineStr">
        <is>
          <t xml:space="preserve">          &lt;/e-axcid&gt;</t>
        </is>
      </c>
    </row>
    <row r="320">
      <c r="A320" s="1" t="inlineStr">
        <is>
          <t xml:space="preserve">        &lt;/low-level-rx-endpoints&gt;</t>
        </is>
      </c>
    </row>
    <row r="321">
      <c r="A321" s="2" t="inlineStr">
        <is>
          <t xml:space="preserve">        &lt;rx-array-carriers&gt;</t>
        </is>
      </c>
    </row>
    <row r="322">
      <c r="A322" s="30">
        <f>"          &lt;name&gt;"&amp;'Control-Sheet'!$L40&amp;"&lt;/name&gt;"</f>
        <v/>
      </c>
    </row>
    <row r="323">
      <c r="A323" s="2" t="inlineStr">
        <is>
          <t xml:space="preserve">          &lt;absolute-frequency-center&gt;0&lt;/absolute-frequency-center&gt;</t>
        </is>
      </c>
    </row>
    <row r="324">
      <c r="A324" s="30">
        <f>"          &lt;center-of-channel-bandwidth&gt;"&amp;'Control-Sheet'!$M40*10^6&amp;"&lt;/center-of-channel-bandwidth&gt;"</f>
        <v/>
      </c>
    </row>
    <row r="325">
      <c r="A325" s="30">
        <f>"          &lt;channel-bandwidth&gt;"&amp;'Control-Sheet'!$N40*10^6&amp;"&lt;/channel-bandwidth&gt;"</f>
        <v/>
      </c>
    </row>
    <row r="326">
      <c r="A326" s="2" t="inlineStr">
        <is>
          <t xml:space="preserve">          &lt;active&gt;INACTIVE&lt;/active&gt;</t>
        </is>
      </c>
    </row>
    <row r="327">
      <c r="A327" s="30">
        <f>"          &lt;type&gt;"&amp;'Control-Sheet'!$O40&amp;"&lt;/type&gt;"</f>
        <v/>
      </c>
    </row>
    <row r="328">
      <c r="A328" s="30">
        <f>"          &lt;n-ta-offset&gt;"&amp;'Control-Sheet'!$P40&amp;"&lt;/n-ta-offset&gt;"</f>
        <v/>
      </c>
    </row>
    <row r="329">
      <c r="A329" s="2" t="inlineStr">
        <is>
          <t xml:space="preserve">          &lt;gain-correction&gt;0&lt;/gain-correction&gt;</t>
        </is>
      </c>
    </row>
    <row r="330">
      <c r="A330" s="2" t="inlineStr">
        <is>
          <t xml:space="preserve">          &lt;downlink-radio-frame-offset&gt;0&lt;/downlink-radio-frame-offset&gt;</t>
        </is>
      </c>
    </row>
    <row r="331">
      <c r="A331" s="2" t="inlineStr">
        <is>
          <t xml:space="preserve">          &lt;downlink-sfn-offset&gt;0&lt;/downlink-sfn-offset&gt;</t>
        </is>
      </c>
    </row>
    <row r="332">
      <c r="A332" s="2" t="inlineStr">
        <is>
          <t xml:space="preserve">        &lt;/rx-array-carriers&gt;</t>
        </is>
      </c>
    </row>
    <row r="333">
      <c r="A333" s="3" t="inlineStr">
        <is>
          <t xml:space="preserve">        &lt;low-level-rx-links&gt;</t>
        </is>
      </c>
    </row>
    <row r="334">
      <c r="A334" s="32">
        <f>"          &lt;name&gt;"&amp;'Control-Sheet'!$H40&amp;"&lt;/name&gt;"</f>
        <v/>
      </c>
    </row>
    <row r="335">
      <c r="A335" s="32">
        <f>"          &lt;processing-element&gt;"&amp;'Control-Sheet'!$I40&amp;"&lt;/processing-element&gt;"</f>
        <v/>
      </c>
    </row>
    <row r="336">
      <c r="A336" s="32">
        <f>"          &lt;rx-array-carrier&gt;"&amp;'Control-Sheet'!$J40&amp;"&lt;/rx-array-carrier&gt;"</f>
        <v/>
      </c>
    </row>
    <row r="337">
      <c r="A337" s="32">
        <f>"          &lt;low-level-rx-endpoint&gt;"&amp;'Control-Sheet'!$K40&amp;"&lt;/low-level-rx-endpoint&gt;"</f>
        <v/>
      </c>
    </row>
    <row r="338">
      <c r="A338" s="3" t="inlineStr">
        <is>
          <t xml:space="preserve">        &lt;/low-level-rx-links&gt;</t>
        </is>
      </c>
    </row>
    <row r="341">
      <c r="A341" s="1" t="inlineStr">
        <is>
          <t xml:space="preserve">        &lt;low-level-rx-endpoints&gt;</t>
        </is>
      </c>
    </row>
    <row r="342">
      <c r="A342" s="8">
        <f>"            &lt;name&gt;"&amp;'Control-Sheet'!$C41&amp;"&lt;/name&gt;"</f>
        <v/>
      </c>
    </row>
    <row r="343">
      <c r="A343" s="1" t="inlineStr">
        <is>
          <t xml:space="preserve">          &lt;compression&gt;</t>
        </is>
      </c>
    </row>
    <row r="344">
      <c r="A344" s="1" t="inlineStr">
        <is>
          <t xml:space="preserve">            &lt;compression-type&gt;STATIC&lt;/compression-type&gt;</t>
        </is>
      </c>
    </row>
    <row r="345">
      <c r="A345" s="1" t="inlineStr">
        <is>
          <t xml:space="preserve">            &lt;iq-bitwidth&gt;16&lt;/iq-bitwidth&gt;</t>
        </is>
      </c>
    </row>
    <row r="346">
      <c r="A346" s="1" t="inlineStr">
        <is>
          <t xml:space="preserve">          &lt;/compression&gt;</t>
        </is>
      </c>
    </row>
    <row r="347">
      <c r="A347" s="1" t="inlineStr">
        <is>
          <t xml:space="preserve">          &lt;frame-structure&gt;160&lt;/frame-structure&gt;</t>
        </is>
      </c>
    </row>
    <row r="348">
      <c r="A348" s="1" t="inlineStr">
        <is>
          <t xml:space="preserve">          &lt;cp-type&gt;NORMAL&lt;/cp-type&gt;</t>
        </is>
      </c>
    </row>
    <row r="349">
      <c r="A349" s="1" t="inlineStr">
        <is>
          <t xml:space="preserve">          &lt;cp-length&gt;160&lt;/cp-length&gt;</t>
        </is>
      </c>
    </row>
    <row r="350">
      <c r="A350" s="1" t="inlineStr">
        <is>
          <t xml:space="preserve">          &lt;cp-length-other&gt;144&lt;/cp-length-other&gt;</t>
        </is>
      </c>
    </row>
    <row r="351">
      <c r="A351" s="1" t="inlineStr">
        <is>
          <t xml:space="preserve">          &lt;offset-to-absolute-frequency-center&gt;0&lt;/offset-to-absolute-frequency-center&gt;</t>
        </is>
      </c>
    </row>
    <row r="352">
      <c r="A352" s="1" t="inlineStr">
        <is>
          <t xml:space="preserve">          &lt;number-of-prb-per-scs&gt;</t>
        </is>
      </c>
    </row>
    <row r="353">
      <c r="A353" s="8">
        <f>"            &lt;scs&gt;"&amp;'Control-Sheet'!$D41&amp;"&lt;/scs&gt;"</f>
        <v/>
      </c>
    </row>
    <row r="354">
      <c r="A354" s="8">
        <f>"            &lt;number-of-prb&gt;"&amp;'Control-Sheet'!$E41&amp;"&lt;/number-of-prb&gt;"</f>
        <v/>
      </c>
    </row>
    <row r="355">
      <c r="A355" s="1" t="inlineStr">
        <is>
          <t xml:space="preserve">          &lt;/number-of-prb-per-scs&gt;</t>
        </is>
      </c>
    </row>
    <row r="356">
      <c r="A356" s="1" t="inlineStr">
        <is>
          <t xml:space="preserve">          &lt;ul-fft-sampling-offsets&gt;</t>
        </is>
      </c>
    </row>
    <row r="357">
      <c r="A357" s="8">
        <f>"            &lt;scs&gt;"&amp;'Control-Sheet'!$D41&amp;"&lt;/scs&gt;"</f>
        <v/>
      </c>
    </row>
    <row r="358">
      <c r="A358" s="8">
        <f>"            &lt;ul-fft-sampling-offset&gt;"&amp;'Control-Sheet'!$F41&amp;"&lt;/ul-fft-sampling-offset&gt;"</f>
        <v/>
      </c>
    </row>
    <row r="359">
      <c r="A359" s="1" t="inlineStr">
        <is>
          <t xml:space="preserve">          &lt;/ul-fft-sampling-offsets&gt;</t>
        </is>
      </c>
    </row>
    <row r="360">
      <c r="A360" s="1" t="inlineStr">
        <is>
          <t xml:space="preserve">          &lt;e-axcid&gt;</t>
        </is>
      </c>
    </row>
    <row r="361">
      <c r="A361" s="1" t="inlineStr">
        <is>
          <t xml:space="preserve">            &lt;o-du-port-bitmask&gt;49152&lt;/o-du-port-bitmask&gt;</t>
        </is>
      </c>
    </row>
    <row r="362">
      <c r="A362" s="1" t="inlineStr">
        <is>
          <t xml:space="preserve">            &lt;band-sector-bitmask&gt;12288&lt;/band-sector-bitmask&gt;</t>
        </is>
      </c>
    </row>
    <row r="363">
      <c r="A363" s="1" t="inlineStr">
        <is>
          <t xml:space="preserve">            &lt;ccid-bitmask&gt;3840&lt;/ccid-bitmask&gt;</t>
        </is>
      </c>
    </row>
    <row r="364">
      <c r="A364" s="1" t="inlineStr">
        <is>
          <t xml:space="preserve">            &lt;ru-port-bitmask&gt;255&lt;/ru-port-bitmask&gt;</t>
        </is>
      </c>
    </row>
    <row r="365">
      <c r="A365" s="8">
        <f>"            &lt;eaxc-id&gt;"&amp;'Control-Sheet'!$G41&amp;"&lt;/eaxc-id&gt;"</f>
        <v/>
      </c>
    </row>
    <row r="366">
      <c r="A366" s="1" t="inlineStr">
        <is>
          <t xml:space="preserve">          &lt;/e-axcid&gt;</t>
        </is>
      </c>
    </row>
    <row r="367">
      <c r="A367" s="1" t="inlineStr">
        <is>
          <t xml:space="preserve">        &lt;/low-level-rx-endpoints&gt;</t>
        </is>
      </c>
    </row>
    <row r="368">
      <c r="A368" s="2" t="inlineStr">
        <is>
          <t xml:space="preserve">        &lt;rx-array-carriers&gt;</t>
        </is>
      </c>
    </row>
    <row r="369">
      <c r="A369" s="30">
        <f>"          &lt;name&gt;"&amp;'Control-Sheet'!$L41&amp;"&lt;/name&gt;"</f>
        <v/>
      </c>
    </row>
    <row r="370">
      <c r="A370" s="2" t="inlineStr">
        <is>
          <t xml:space="preserve">          &lt;absolute-frequency-center&gt;0&lt;/absolute-frequency-center&gt;</t>
        </is>
      </c>
    </row>
    <row r="371">
      <c r="A371" s="30">
        <f>"          &lt;center-of-channel-bandwidth&gt;"&amp;'Control-Sheet'!$M41*10^6&amp;"&lt;/center-of-channel-bandwidth&gt;"</f>
        <v/>
      </c>
    </row>
    <row r="372">
      <c r="A372" s="30">
        <f>"          &lt;channel-bandwidth&gt;"&amp;'Control-Sheet'!$N41*10^6&amp;"&lt;/channel-bandwidth&gt;"</f>
        <v/>
      </c>
    </row>
    <row r="373">
      <c r="A373" s="2" t="inlineStr">
        <is>
          <t xml:space="preserve">          &lt;active&gt;INACTIVE&lt;/active&gt;</t>
        </is>
      </c>
    </row>
    <row r="374">
      <c r="A374" s="30">
        <f>"          &lt;type&gt;"&amp;'Control-Sheet'!$O41&amp;"&lt;/type&gt;"</f>
        <v/>
      </c>
    </row>
    <row r="375">
      <c r="A375" s="30">
        <f>"          &lt;n-ta-offset&gt;"&amp;'Control-Sheet'!$P41&amp;"&lt;/n-ta-offset&gt;"</f>
        <v/>
      </c>
    </row>
    <row r="376">
      <c r="A376" s="2" t="inlineStr">
        <is>
          <t xml:space="preserve">          &lt;gain-correction&gt;0&lt;/gain-correction&gt;</t>
        </is>
      </c>
    </row>
    <row r="377">
      <c r="A377" s="2" t="inlineStr">
        <is>
          <t xml:space="preserve">          &lt;downlink-radio-frame-offset&gt;0&lt;/downlink-radio-frame-offset&gt;</t>
        </is>
      </c>
    </row>
    <row r="378">
      <c r="A378" s="2" t="inlineStr">
        <is>
          <t xml:space="preserve">          &lt;downlink-sfn-offset&gt;0&lt;/downlink-sfn-offset&gt;</t>
        </is>
      </c>
    </row>
    <row r="379">
      <c r="A379" s="2" t="inlineStr">
        <is>
          <t xml:space="preserve">        &lt;/rx-array-carriers&gt;</t>
        </is>
      </c>
    </row>
    <row r="380">
      <c r="A380" s="3" t="inlineStr">
        <is>
          <t xml:space="preserve">        &lt;low-level-rx-links&gt;</t>
        </is>
      </c>
    </row>
    <row r="381">
      <c r="A381" s="32">
        <f>"          &lt;name&gt;"&amp;'Control-Sheet'!$H41&amp;"&lt;/name&gt;"</f>
        <v/>
      </c>
    </row>
    <row r="382">
      <c r="A382" s="32">
        <f>"          &lt;processing-element&gt;"&amp;'Control-Sheet'!$I41&amp;"&lt;/processing-element&gt;"</f>
        <v/>
      </c>
    </row>
    <row r="383">
      <c r="A383" s="32">
        <f>"          &lt;rx-array-carrier&gt;"&amp;'Control-Sheet'!$J41&amp;"&lt;/rx-array-carrier&gt;"</f>
        <v/>
      </c>
    </row>
    <row r="384">
      <c r="A384" s="32">
        <f>"          &lt;low-level-rx-endpoint&gt;"&amp;'Control-Sheet'!$K41&amp;"&lt;/low-level-rx-endpoint&gt;"</f>
        <v/>
      </c>
    </row>
    <row r="385">
      <c r="A385" s="3" t="inlineStr">
        <is>
          <t xml:space="preserve">        &lt;/low-level-rx-links&gt;</t>
        </is>
      </c>
    </row>
    <row r="388">
      <c r="A388" s="33" t="inlineStr">
        <is>
          <t xml:space="preserve">      &lt;/user-plane-configuration&gt;</t>
        </is>
      </c>
    </row>
    <row r="389">
      <c r="A389" s="33" t="inlineStr">
        <is>
          <t xml:space="preserve">    &lt;/config&gt;</t>
        </is>
      </c>
    </row>
    <row r="390">
      <c r="A390" s="33" t="inlineStr">
        <is>
          <t xml:space="preserve">  &lt;/edit-config&gt;</t>
        </is>
      </c>
    </row>
    <row r="391">
      <c r="A391" s="33" t="inlineStr">
        <is>
          <t>&lt;/rpc&gt;</t>
        </is>
      </c>
    </row>
  </sheetData>
  <autoFilter ref="A1:A39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5"/>
  <sheetViews>
    <sheetView topLeftCell="A22" zoomScaleNormal="100" workbookViewId="0">
      <selection activeCell="A22" sqref="A1:A1048576"/>
    </sheetView>
  </sheetViews>
  <sheetFormatPr baseColWidth="8" defaultRowHeight="13.5"/>
  <cols>
    <col width="79" bestFit="1" customWidth="1" style="33" min="1" max="1"/>
  </cols>
  <sheetData>
    <row r="1">
      <c r="A1" s="33" t="inlineStr">
        <is>
          <t>&lt;?xml version="1.0" encoding="UTF-8"?&gt;</t>
        </is>
      </c>
    </row>
    <row r="2">
      <c r="A2" s="33" t="inlineStr">
        <is>
          <t>&lt;rpc xmlns="urn:ietf:params:xml:ns:netconf:base:1.0" message-id="1"&gt;</t>
        </is>
      </c>
    </row>
    <row r="3">
      <c r="A3" s="33" t="inlineStr">
        <is>
          <t xml:space="preserve">  &lt;edit-config&gt;</t>
        </is>
      </c>
    </row>
    <row r="4">
      <c r="A4" s="33" t="inlineStr">
        <is>
          <t xml:space="preserve">    &lt;target&gt;</t>
        </is>
      </c>
    </row>
    <row r="5">
      <c r="A5" s="33" t="inlineStr">
        <is>
          <t xml:space="preserve">      &lt;running/&gt;</t>
        </is>
      </c>
    </row>
    <row r="6">
      <c r="A6" s="33" t="inlineStr">
        <is>
          <t xml:space="preserve">    &lt;/target&gt;</t>
        </is>
      </c>
    </row>
    <row r="7">
      <c r="A7" s="33" t="inlineStr">
        <is>
          <t xml:space="preserve">    &lt;default-operation&gt;merge&lt;/default-operation&gt;</t>
        </is>
      </c>
    </row>
    <row r="8">
      <c r="A8" s="33" t="inlineStr">
        <is>
          <t xml:space="preserve">    &lt;config&gt;</t>
        </is>
      </c>
    </row>
    <row r="9">
      <c r="A9" s="33" t="inlineStr">
        <is>
          <t xml:space="preserve">      &lt;user-plane-configuration xmlns="urn:o-ran:uplane-conf:1.0"&gt;</t>
        </is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&lt;name&gt;"&amp;'Control-Sheet'!$C48&amp;"&lt;/name&gt;"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1" t="inlineStr">
        <is>
          <t xml:space="preserve">            &lt;iq-bitwidth&gt;16&lt;/iq-bitwidth&gt;</t>
        </is>
      </c>
    </row>
    <row r="17">
      <c r="A17" s="1" t="inlineStr">
        <is>
          <t xml:space="preserve">          &lt;/compression&gt;</t>
        </is>
      </c>
    </row>
    <row r="18">
      <c r="A18" s="1" t="inlineStr">
        <is>
          <t xml:space="preserve">          &lt;frame-structure&gt;160&lt;/frame-structure&gt;</t>
        </is>
      </c>
    </row>
    <row r="19">
      <c r="A19" s="1" t="inlineStr">
        <is>
          <t xml:space="preserve">          &lt;cp-type&gt;NORMAL&lt;/cp-type&gt;</t>
        </is>
      </c>
    </row>
    <row r="20">
      <c r="A20" s="1" t="inlineStr">
        <is>
          <t xml:space="preserve">          &lt;cp-length&gt;160&lt;/cp-length&gt;</t>
        </is>
      </c>
    </row>
    <row r="21">
      <c r="A21" s="1" t="inlineStr">
        <is>
          <t xml:space="preserve">          &lt;cp-length-other&gt;144&lt;/cp-length-other&gt;</t>
        </is>
      </c>
    </row>
    <row r="22">
      <c r="A22" s="1" t="inlineStr">
        <is>
          <t xml:space="preserve">          &lt;offset-to-absolute-frequency-center&gt;0&lt;/offset-to-absolute-frequency-center&gt;</t>
        </is>
      </c>
    </row>
    <row r="23">
      <c r="A23" s="1" t="inlineStr">
        <is>
          <t xml:space="preserve">          &lt;number-of-prb-per-scs&gt;</t>
        </is>
      </c>
    </row>
    <row r="24">
      <c r="A24" s="8">
        <f>"            &lt;scs&gt;"&amp;'Control-Sheet'!$D48&amp;"&lt;/scs&gt;"</f>
        <v/>
      </c>
    </row>
    <row r="25">
      <c r="A25" s="8">
        <f>"            &lt;number-of-prb&gt;"&amp;'Control-Sheet'!$E48&amp;"&lt;/number-of-prb&gt;"</f>
        <v/>
      </c>
    </row>
    <row r="26">
      <c r="A26" s="1" t="inlineStr">
        <is>
          <t xml:space="preserve">          &lt;/number-of-prb-per-scs&gt;</t>
        </is>
      </c>
    </row>
    <row r="27">
      <c r="A27" s="1" t="inlineStr">
        <is>
          <t xml:space="preserve">          &lt;ul-fft-sampling-offsets&gt;</t>
        </is>
      </c>
    </row>
    <row r="28">
      <c r="A28" s="8">
        <f>"            &lt;scs&gt;"&amp;'Control-Sheet'!$D48&amp;"&lt;/scs&gt;"</f>
        <v/>
      </c>
    </row>
    <row r="29">
      <c r="A29" s="8">
        <f>"            &lt;ul-fft-sampling-offset&gt;"&amp;'Control-Sheet'!$F48&amp;"&lt;/ul-fft-sampling-offset&gt;"</f>
        <v/>
      </c>
    </row>
    <row r="30">
      <c r="A30" s="1" t="inlineStr">
        <is>
          <t xml:space="preserve">          &lt;/ul-fft-sampling-offsets&gt;</t>
        </is>
      </c>
    </row>
    <row r="31">
      <c r="A31" s="1" t="inlineStr">
        <is>
          <t xml:space="preserve">          &lt;e-axcid&gt;</t>
        </is>
      </c>
    </row>
    <row r="32">
      <c r="A32" s="1" t="inlineStr">
        <is>
          <t xml:space="preserve">            &lt;o-du-port-bitmask&gt;49152&lt;/o-du-port-bitmask&gt;</t>
        </is>
      </c>
    </row>
    <row r="33">
      <c r="A33" s="1" t="inlineStr">
        <is>
          <t xml:space="preserve">            &lt;band-sector-bitmask&gt;12288&lt;/band-sector-bitmask&gt;</t>
        </is>
      </c>
    </row>
    <row r="34">
      <c r="A34" s="1" t="inlineStr">
        <is>
          <t xml:space="preserve">            &lt;ccid-bitmask&gt;3840&lt;/ccid-bitmask&gt;</t>
        </is>
      </c>
    </row>
    <row r="35">
      <c r="A35" s="1" t="inlineStr">
        <is>
          <t xml:space="preserve">            &lt;ru-port-bitmask&gt;255&lt;/ru-port-bitmask&gt;</t>
        </is>
      </c>
    </row>
    <row r="36">
      <c r="A36" s="8">
        <f>"            &lt;eaxc-id&gt;"&amp;'Control-Sheet'!$G48&amp;"&lt;/eaxc-id&gt;"</f>
        <v/>
      </c>
    </row>
    <row r="37">
      <c r="A37" s="1" t="inlineStr">
        <is>
          <t xml:space="preserve">          &lt;/e-axcid&gt;</t>
        </is>
      </c>
    </row>
    <row r="38">
      <c r="A38" s="1" t="inlineStr">
        <is>
          <t xml:space="preserve">        &lt;/low-level-rx-endpoints&gt;</t>
        </is>
      </c>
    </row>
    <row r="39">
      <c r="A39" s="3" t="inlineStr">
        <is>
          <t xml:space="preserve">        &lt;low-level-rx-links&gt;</t>
        </is>
      </c>
    </row>
    <row r="40">
      <c r="A40" s="32">
        <f>"          &lt;name&gt;"&amp;'Control-Sheet'!$H48&amp;"&lt;/name&gt;"</f>
        <v/>
      </c>
    </row>
    <row r="41">
      <c r="A41" s="32">
        <f>"          &lt;processing-element&gt;"&amp;'Control-Sheet'!$I48&amp;"&lt;/processing-element&gt;"</f>
        <v/>
      </c>
    </row>
    <row r="42">
      <c r="A42" s="32">
        <f>"          &lt;rx-array-carrier&gt;"&amp;'Control-Sheet'!$J48&amp;"&lt;/rx-array-carrier&gt;"</f>
        <v/>
      </c>
    </row>
    <row r="43">
      <c r="A43" s="32">
        <f>"          &lt;low-level-rx-endpoint&gt;"&amp;'Control-Sheet'!$K48&amp;"&lt;/low-level-rx-endpoint&gt;"</f>
        <v/>
      </c>
    </row>
    <row r="44">
      <c r="A44" s="3" t="inlineStr">
        <is>
          <t xml:space="preserve">        &lt;/low-level-rx-links&gt;</t>
        </is>
      </c>
    </row>
    <row r="47">
      <c r="A47" s="1" t="inlineStr">
        <is>
          <t xml:space="preserve">        &lt;low-level-rx-endpoints&gt;</t>
        </is>
      </c>
    </row>
    <row r="48">
      <c r="A48" s="8">
        <f>"            &lt;name&gt;"&amp;'Control-Sheet'!$C49&amp;"&lt;/name&gt;"</f>
        <v/>
      </c>
    </row>
    <row r="49">
      <c r="A49" s="1" t="inlineStr">
        <is>
          <t xml:space="preserve">          &lt;compression&gt;</t>
        </is>
      </c>
    </row>
    <row r="50">
      <c r="A50" s="1" t="inlineStr">
        <is>
          <t xml:space="preserve">            &lt;compression-type&gt;STATIC&lt;/compression-type&gt;</t>
        </is>
      </c>
    </row>
    <row r="51">
      <c r="A51" s="1" t="inlineStr">
        <is>
          <t xml:space="preserve">            &lt;iq-bitwidth&gt;16&lt;/iq-bitwidth&gt;</t>
        </is>
      </c>
    </row>
    <row r="52">
      <c r="A52" s="1" t="inlineStr">
        <is>
          <t xml:space="preserve">          &lt;/compression&gt;</t>
        </is>
      </c>
    </row>
    <row r="53">
      <c r="A53" s="1" t="inlineStr">
        <is>
          <t xml:space="preserve">          &lt;frame-structure&gt;160&lt;/frame-structure&gt;</t>
        </is>
      </c>
    </row>
    <row r="54">
      <c r="A54" s="1" t="inlineStr">
        <is>
          <t xml:space="preserve">          &lt;cp-type&gt;NORMAL&lt;/cp-type&gt;</t>
        </is>
      </c>
    </row>
    <row r="55">
      <c r="A55" s="1" t="inlineStr">
        <is>
          <t xml:space="preserve">          &lt;cp-length&gt;160&lt;/cp-length&gt;</t>
        </is>
      </c>
    </row>
    <row r="56">
      <c r="A56" s="1" t="inlineStr">
        <is>
          <t xml:space="preserve">          &lt;cp-length-other&gt;144&lt;/cp-length-other&gt;</t>
        </is>
      </c>
    </row>
    <row r="57">
      <c r="A57" s="1" t="inlineStr">
        <is>
          <t xml:space="preserve">          &lt;offset-to-absolute-frequency-center&gt;0&lt;/offset-to-absolute-frequency-center&gt;</t>
        </is>
      </c>
    </row>
    <row r="58">
      <c r="A58" s="1" t="inlineStr">
        <is>
          <t xml:space="preserve">          &lt;number-of-prb-per-scs&gt;</t>
        </is>
      </c>
    </row>
    <row r="59">
      <c r="A59" s="8">
        <f>"            &lt;scs&gt;"&amp;'Control-Sheet'!$D49&amp;"&lt;/scs&gt;"</f>
        <v/>
      </c>
    </row>
    <row r="60">
      <c r="A60" s="8">
        <f>"            &lt;number-of-prb&gt;"&amp;'Control-Sheet'!$E49&amp;"&lt;/number-of-prb&gt;"</f>
        <v/>
      </c>
    </row>
    <row r="61">
      <c r="A61" s="1" t="inlineStr">
        <is>
          <t xml:space="preserve">          &lt;/number-of-prb-per-scs&gt;</t>
        </is>
      </c>
    </row>
    <row r="62">
      <c r="A62" s="1" t="inlineStr">
        <is>
          <t xml:space="preserve">          &lt;ul-fft-sampling-offsets&gt;</t>
        </is>
      </c>
    </row>
    <row r="63">
      <c r="A63" s="8">
        <f>"            &lt;scs&gt;"&amp;'Control-Sheet'!$D49&amp;"&lt;/scs&gt;"</f>
        <v/>
      </c>
    </row>
    <row r="64">
      <c r="A64" s="8">
        <f>"            &lt;ul-fft-sampling-offset&gt;"&amp;'Control-Sheet'!$F49&amp;"&lt;/ul-fft-sampling-offset&gt;"</f>
        <v/>
      </c>
    </row>
    <row r="65">
      <c r="A65" s="1" t="inlineStr">
        <is>
          <t xml:space="preserve">          &lt;/ul-fft-sampling-offsets&gt;</t>
        </is>
      </c>
    </row>
    <row r="66">
      <c r="A66" s="1" t="inlineStr">
        <is>
          <t xml:space="preserve">          &lt;e-axcid&gt;</t>
        </is>
      </c>
    </row>
    <row r="67">
      <c r="A67" s="1" t="inlineStr">
        <is>
          <t xml:space="preserve">            &lt;o-du-port-bitmask&gt;49152&lt;/o-du-port-bitmask&gt;</t>
        </is>
      </c>
    </row>
    <row r="68">
      <c r="A68" s="1" t="inlineStr">
        <is>
          <t xml:space="preserve">            &lt;band-sector-bitmask&gt;12288&lt;/band-sector-bitmask&gt;</t>
        </is>
      </c>
    </row>
    <row r="69">
      <c r="A69" s="1" t="inlineStr">
        <is>
          <t xml:space="preserve">            &lt;ccid-bitmask&gt;3840&lt;/ccid-bitmask&gt;</t>
        </is>
      </c>
    </row>
    <row r="70">
      <c r="A70" s="1" t="inlineStr">
        <is>
          <t xml:space="preserve">            &lt;ru-port-bitmask&gt;255&lt;/ru-port-bitmask&gt;</t>
        </is>
      </c>
    </row>
    <row r="71">
      <c r="A71" s="8">
        <f>"            &lt;eaxc-id&gt;"&amp;'Control-Sheet'!$G49&amp;"&lt;/eaxc-id&gt;"</f>
        <v/>
      </c>
    </row>
    <row r="72">
      <c r="A72" s="1" t="inlineStr">
        <is>
          <t xml:space="preserve">          &lt;/e-axcid&gt;</t>
        </is>
      </c>
    </row>
    <row r="73">
      <c r="A73" s="1" t="inlineStr">
        <is>
          <t xml:space="preserve">        &lt;/low-level-rx-endpoints&gt;</t>
        </is>
      </c>
    </row>
    <row r="74">
      <c r="A74" s="3" t="inlineStr">
        <is>
          <t xml:space="preserve">        &lt;low-level-rx-links&gt;</t>
        </is>
      </c>
    </row>
    <row r="75">
      <c r="A75" s="32">
        <f>"          &lt;name&gt;"&amp;'Control-Sheet'!$H49&amp;"&lt;/name&gt;"</f>
        <v/>
      </c>
    </row>
    <row r="76">
      <c r="A76" s="32">
        <f>"          &lt;processing-element&gt;"&amp;'Control-Sheet'!$I49&amp;"&lt;/processing-element&gt;"</f>
        <v/>
      </c>
    </row>
    <row r="77">
      <c r="A77" s="32">
        <f>"          &lt;rx-array-carrier&gt;"&amp;'Control-Sheet'!$J49&amp;"&lt;/rx-array-carrier&gt;"</f>
        <v/>
      </c>
    </row>
    <row r="78">
      <c r="A78" s="32">
        <f>"          &lt;low-level-rx-endpoint&gt;"&amp;'Control-Sheet'!$K49&amp;"&lt;/low-level-rx-endpoint&gt;"</f>
        <v/>
      </c>
    </row>
    <row r="79">
      <c r="A79" s="3" t="inlineStr">
        <is>
          <t xml:space="preserve">        &lt;/low-level-rx-links&gt;</t>
        </is>
      </c>
    </row>
    <row r="82">
      <c r="A82" s="1" t="inlineStr">
        <is>
          <t xml:space="preserve">        &lt;low-level-rx-endpoints&gt;</t>
        </is>
      </c>
    </row>
    <row r="83">
      <c r="A83" s="8">
        <f>"            &lt;name&gt;"&amp;'Control-Sheet'!$C50&amp;"&lt;/name&gt;"</f>
        <v/>
      </c>
    </row>
    <row r="84">
      <c r="A84" s="1" t="inlineStr">
        <is>
          <t xml:space="preserve">          &lt;compression&gt;</t>
        </is>
      </c>
    </row>
    <row r="85">
      <c r="A85" s="1" t="inlineStr">
        <is>
          <t xml:space="preserve">            &lt;compression-type&gt;STATIC&lt;/compression-type&gt;</t>
        </is>
      </c>
    </row>
    <row r="86">
      <c r="A86" s="1" t="inlineStr">
        <is>
          <t xml:space="preserve">            &lt;iq-bitwidth&gt;16&lt;/iq-bitwidth&gt;</t>
        </is>
      </c>
    </row>
    <row r="87">
      <c r="A87" s="1" t="inlineStr">
        <is>
          <t xml:space="preserve">          &lt;/compression&gt;</t>
        </is>
      </c>
    </row>
    <row r="88">
      <c r="A88" s="1" t="inlineStr">
        <is>
          <t xml:space="preserve">          &lt;frame-structure&gt;160&lt;/frame-structure&gt;</t>
        </is>
      </c>
    </row>
    <row r="89">
      <c r="A89" s="1" t="inlineStr">
        <is>
          <t xml:space="preserve">          &lt;cp-type&gt;NORMAL&lt;/cp-type&gt;</t>
        </is>
      </c>
    </row>
    <row r="90">
      <c r="A90" s="1" t="inlineStr">
        <is>
          <t xml:space="preserve">          &lt;cp-length&gt;160&lt;/cp-length&gt;</t>
        </is>
      </c>
    </row>
    <row r="91">
      <c r="A91" s="1" t="inlineStr">
        <is>
          <t xml:space="preserve">          &lt;cp-length-other&gt;144&lt;/cp-length-other&gt;</t>
        </is>
      </c>
    </row>
    <row r="92">
      <c r="A92" s="1" t="inlineStr">
        <is>
          <t xml:space="preserve">          &lt;offset-to-absolute-frequency-center&gt;0&lt;/offset-to-absolute-frequency-center&gt;</t>
        </is>
      </c>
    </row>
    <row r="93">
      <c r="A93" s="1" t="inlineStr">
        <is>
          <t xml:space="preserve">          &lt;number-of-prb-per-scs&gt;</t>
        </is>
      </c>
    </row>
    <row r="94">
      <c r="A94" s="8">
        <f>"            &lt;scs&gt;"&amp;'Control-Sheet'!$D50&amp;"&lt;/scs&gt;"</f>
        <v/>
      </c>
    </row>
    <row r="95">
      <c r="A95" s="8">
        <f>"            &lt;number-of-prb&gt;"&amp;'Control-Sheet'!$E50&amp;"&lt;/number-of-prb&gt;"</f>
        <v/>
      </c>
    </row>
    <row r="96">
      <c r="A96" s="1" t="inlineStr">
        <is>
          <t xml:space="preserve">          &lt;/number-of-prb-per-scs&gt;</t>
        </is>
      </c>
    </row>
    <row r="97">
      <c r="A97" s="1" t="inlineStr">
        <is>
          <t xml:space="preserve">          &lt;ul-fft-sampling-offsets&gt;</t>
        </is>
      </c>
    </row>
    <row r="98">
      <c r="A98" s="8">
        <f>"            &lt;scs&gt;"&amp;'Control-Sheet'!$D50&amp;"&lt;/scs&gt;"</f>
        <v/>
      </c>
    </row>
    <row r="99">
      <c r="A99" s="8">
        <f>"            &lt;ul-fft-sampling-offset&gt;"&amp;'Control-Sheet'!$F50&amp;"&lt;/ul-fft-sampling-offset&gt;"</f>
        <v/>
      </c>
    </row>
    <row r="100">
      <c r="A100" s="1" t="inlineStr">
        <is>
          <t xml:space="preserve">          &lt;/ul-fft-sampling-offsets&gt;</t>
        </is>
      </c>
    </row>
    <row r="101">
      <c r="A101" s="1" t="inlineStr">
        <is>
          <t xml:space="preserve">          &lt;e-axcid&gt;</t>
        </is>
      </c>
    </row>
    <row r="102">
      <c r="A102" s="1" t="inlineStr">
        <is>
          <t xml:space="preserve">            &lt;o-du-port-bitmask&gt;49152&lt;/o-du-port-bitmask&gt;</t>
        </is>
      </c>
    </row>
    <row r="103">
      <c r="A103" s="1" t="inlineStr">
        <is>
          <t xml:space="preserve">            &lt;band-sector-bitmask&gt;12288&lt;/band-sector-bitmask&gt;</t>
        </is>
      </c>
    </row>
    <row r="104">
      <c r="A104" s="1" t="inlineStr">
        <is>
          <t xml:space="preserve">            &lt;ccid-bitmask&gt;3840&lt;/ccid-bitmask&gt;</t>
        </is>
      </c>
    </row>
    <row r="105">
      <c r="A105" s="1" t="inlineStr">
        <is>
          <t xml:space="preserve">            &lt;ru-port-bitmask&gt;255&lt;/ru-port-bitmask&gt;</t>
        </is>
      </c>
    </row>
    <row r="106">
      <c r="A106" s="8">
        <f>"            &lt;eaxc-id&gt;"&amp;'Control-Sheet'!$G50&amp;"&lt;/eaxc-id&gt;"</f>
        <v/>
      </c>
    </row>
    <row r="107">
      <c r="A107" s="1" t="inlineStr">
        <is>
          <t xml:space="preserve">          &lt;/e-axcid&gt;</t>
        </is>
      </c>
    </row>
    <row r="108">
      <c r="A108" s="1" t="inlineStr">
        <is>
          <t xml:space="preserve">        &lt;/low-level-rx-endpoints&gt;</t>
        </is>
      </c>
    </row>
    <row r="109">
      <c r="A109" s="3" t="inlineStr">
        <is>
          <t xml:space="preserve">        &lt;low-level-rx-links&gt;</t>
        </is>
      </c>
    </row>
    <row r="110">
      <c r="A110" s="32">
        <f>"          &lt;name&gt;"&amp;'Control-Sheet'!$H50&amp;"&lt;/name&gt;"</f>
        <v/>
      </c>
    </row>
    <row r="111">
      <c r="A111" s="32">
        <f>"          &lt;processing-element&gt;"&amp;'Control-Sheet'!$I50&amp;"&lt;/processing-element&gt;"</f>
        <v/>
      </c>
    </row>
    <row r="112">
      <c r="A112" s="32">
        <f>"          &lt;rx-array-carrier&gt;"&amp;'Control-Sheet'!$J50&amp;"&lt;/rx-array-carrier&gt;"</f>
        <v/>
      </c>
    </row>
    <row r="113">
      <c r="A113" s="32">
        <f>"          &lt;low-level-rx-endpoint&gt;"&amp;'Control-Sheet'!$K50&amp;"&lt;/low-level-rx-endpoint&gt;"</f>
        <v/>
      </c>
    </row>
    <row r="114">
      <c r="A114" s="3" t="inlineStr">
        <is>
          <t xml:space="preserve">        &lt;/low-level-rx-links&gt;</t>
        </is>
      </c>
    </row>
    <row r="117">
      <c r="A117" s="1" t="inlineStr">
        <is>
          <t xml:space="preserve">        &lt;low-level-rx-endpoints&gt;</t>
        </is>
      </c>
    </row>
    <row r="118">
      <c r="A118" s="8">
        <f>"            &lt;name&gt;"&amp;'Control-Sheet'!$C51&amp;"&lt;/name&gt;"</f>
        <v/>
      </c>
    </row>
    <row r="119">
      <c r="A119" s="1" t="inlineStr">
        <is>
          <t xml:space="preserve">          &lt;compression&gt;</t>
        </is>
      </c>
    </row>
    <row r="120">
      <c r="A120" s="1" t="inlineStr">
        <is>
          <t xml:space="preserve">            &lt;compression-type&gt;STATIC&lt;/compression-type&gt;</t>
        </is>
      </c>
    </row>
    <row r="121">
      <c r="A121" s="1" t="inlineStr">
        <is>
          <t xml:space="preserve">            &lt;iq-bitwidth&gt;16&lt;/iq-bitwidth&gt;</t>
        </is>
      </c>
    </row>
    <row r="122">
      <c r="A122" s="1" t="inlineStr">
        <is>
          <t xml:space="preserve">          &lt;/compression&gt;</t>
        </is>
      </c>
    </row>
    <row r="123">
      <c r="A123" s="1" t="inlineStr">
        <is>
          <t xml:space="preserve">          &lt;frame-structure&gt;160&lt;/frame-structure&gt;</t>
        </is>
      </c>
    </row>
    <row r="124">
      <c r="A124" s="1" t="inlineStr">
        <is>
          <t xml:space="preserve">          &lt;cp-type&gt;NORMAL&lt;/cp-type&gt;</t>
        </is>
      </c>
    </row>
    <row r="125">
      <c r="A125" s="1" t="inlineStr">
        <is>
          <t xml:space="preserve">          &lt;cp-length&gt;160&lt;/cp-length&gt;</t>
        </is>
      </c>
    </row>
    <row r="126">
      <c r="A126" s="1" t="inlineStr">
        <is>
          <t xml:space="preserve">          &lt;cp-length-other&gt;144&lt;/cp-length-other&gt;</t>
        </is>
      </c>
    </row>
    <row r="127">
      <c r="A127" s="1" t="inlineStr">
        <is>
          <t xml:space="preserve">          &lt;offset-to-absolute-frequency-center&gt;0&lt;/offset-to-absolute-frequency-center&gt;</t>
        </is>
      </c>
    </row>
    <row r="128">
      <c r="A128" s="1" t="inlineStr">
        <is>
          <t xml:space="preserve">          &lt;number-of-prb-per-scs&gt;</t>
        </is>
      </c>
    </row>
    <row r="129">
      <c r="A129" s="8">
        <f>"            &lt;scs&gt;"&amp;'Control-Sheet'!$D51&amp;"&lt;/scs&gt;"</f>
        <v/>
      </c>
    </row>
    <row r="130">
      <c r="A130" s="8">
        <f>"            &lt;number-of-prb&gt;"&amp;'Control-Sheet'!$E51&amp;"&lt;/number-of-prb&gt;"</f>
        <v/>
      </c>
    </row>
    <row r="131">
      <c r="A131" s="1" t="inlineStr">
        <is>
          <t xml:space="preserve">          &lt;/number-of-prb-per-scs&gt;</t>
        </is>
      </c>
    </row>
    <row r="132">
      <c r="A132" s="1" t="inlineStr">
        <is>
          <t xml:space="preserve">          &lt;ul-fft-sampling-offsets&gt;</t>
        </is>
      </c>
    </row>
    <row r="133">
      <c r="A133" s="8">
        <f>"            &lt;scs&gt;"&amp;'Control-Sheet'!$D51&amp;"&lt;/scs&gt;"</f>
        <v/>
      </c>
    </row>
    <row r="134">
      <c r="A134" s="8">
        <f>"            &lt;ul-fft-sampling-offset&gt;"&amp;'Control-Sheet'!$F51&amp;"&lt;/ul-fft-sampling-offset&gt;"</f>
        <v/>
      </c>
    </row>
    <row r="135">
      <c r="A135" s="1" t="inlineStr">
        <is>
          <t xml:space="preserve">          &lt;/ul-fft-sampling-offsets&gt;</t>
        </is>
      </c>
    </row>
    <row r="136">
      <c r="A136" s="1" t="inlineStr">
        <is>
          <t xml:space="preserve">          &lt;e-axcid&gt;</t>
        </is>
      </c>
    </row>
    <row r="137">
      <c r="A137" s="1" t="inlineStr">
        <is>
          <t xml:space="preserve">            &lt;o-du-port-bitmask&gt;49152&lt;/o-du-port-bitmask&gt;</t>
        </is>
      </c>
    </row>
    <row r="138">
      <c r="A138" s="1" t="inlineStr">
        <is>
          <t xml:space="preserve">            &lt;band-sector-bitmask&gt;12288&lt;/band-sector-bitmask&gt;</t>
        </is>
      </c>
    </row>
    <row r="139">
      <c r="A139" s="1" t="inlineStr">
        <is>
          <t xml:space="preserve">            &lt;ccid-bitmask&gt;3840&lt;/ccid-bitmask&gt;</t>
        </is>
      </c>
    </row>
    <row r="140">
      <c r="A140" s="1" t="inlineStr">
        <is>
          <t xml:space="preserve">            &lt;ru-port-bitmask&gt;255&lt;/ru-port-bitmask&gt;</t>
        </is>
      </c>
    </row>
    <row r="141">
      <c r="A141" s="8">
        <f>"            &lt;eaxc-id&gt;"&amp;'Control-Sheet'!$G51&amp;"&lt;/eaxc-id&gt;"</f>
        <v/>
      </c>
    </row>
    <row r="142">
      <c r="A142" s="1" t="inlineStr">
        <is>
          <t xml:space="preserve">          &lt;/e-axcid&gt;</t>
        </is>
      </c>
    </row>
    <row r="143">
      <c r="A143" s="1" t="inlineStr">
        <is>
          <t xml:space="preserve">        &lt;/low-level-rx-endpoints&gt;</t>
        </is>
      </c>
    </row>
    <row r="144">
      <c r="A144" s="3" t="inlineStr">
        <is>
          <t xml:space="preserve">        &lt;low-level-rx-links&gt;</t>
        </is>
      </c>
    </row>
    <row r="145">
      <c r="A145" s="32">
        <f>"          &lt;name&gt;"&amp;'Control-Sheet'!$H51&amp;"&lt;/name&gt;"</f>
        <v/>
      </c>
    </row>
    <row r="146">
      <c r="A146" s="32">
        <f>"          &lt;processing-element&gt;"&amp;'Control-Sheet'!$I51&amp;"&lt;/processing-element&gt;"</f>
        <v/>
      </c>
    </row>
    <row r="147">
      <c r="A147" s="32">
        <f>"          &lt;rx-array-carrier&gt;"&amp;'Control-Sheet'!$J51&amp;"&lt;/rx-array-carrier&gt;"</f>
        <v/>
      </c>
    </row>
    <row r="148">
      <c r="A148" s="32">
        <f>"          &lt;low-level-rx-endpoint&gt;"&amp;'Control-Sheet'!$K51&amp;"&lt;/low-level-rx-endpoint&gt;"</f>
        <v/>
      </c>
    </row>
    <row r="149">
      <c r="A149" s="3" t="inlineStr">
        <is>
          <t xml:space="preserve">        &lt;/low-level-rx-links&gt;</t>
        </is>
      </c>
    </row>
    <row r="150">
      <c r="A150" s="0" t="n"/>
    </row>
    <row r="151">
      <c r="A151" s="0" t="n"/>
    </row>
    <row r="152">
      <c r="A152" s="1" t="inlineStr">
        <is>
          <t xml:space="preserve">        &lt;low-level-rx-endpoints&gt;</t>
        </is>
      </c>
    </row>
    <row r="153">
      <c r="A153" s="8">
        <f>"            &lt;name&gt;"&amp;'Control-Sheet'!$C52&amp;"&lt;/name&gt;"</f>
        <v/>
      </c>
    </row>
    <row r="154">
      <c r="A154" s="1" t="inlineStr">
        <is>
          <t xml:space="preserve">          &lt;compression&gt;</t>
        </is>
      </c>
    </row>
    <row r="155">
      <c r="A155" s="1" t="inlineStr">
        <is>
          <t xml:space="preserve">            &lt;compression-type&gt;STATIC&lt;/compression-type&gt;</t>
        </is>
      </c>
    </row>
    <row r="156">
      <c r="A156" s="1" t="inlineStr">
        <is>
          <t xml:space="preserve">            &lt;iq-bitwidth&gt;16&lt;/iq-bitwidth&gt;</t>
        </is>
      </c>
    </row>
    <row r="157">
      <c r="A157" s="1" t="inlineStr">
        <is>
          <t xml:space="preserve">          &lt;/compression&gt;</t>
        </is>
      </c>
    </row>
    <row r="158">
      <c r="A158" s="1" t="inlineStr">
        <is>
          <t xml:space="preserve">          &lt;frame-structure&gt;160&lt;/frame-structure&gt;</t>
        </is>
      </c>
    </row>
    <row r="159">
      <c r="A159" s="1" t="inlineStr">
        <is>
          <t xml:space="preserve">          &lt;cp-type&gt;NORMAL&lt;/cp-type&gt;</t>
        </is>
      </c>
    </row>
    <row r="160">
      <c r="A160" s="1" t="inlineStr">
        <is>
          <t xml:space="preserve">          &lt;cp-length&gt;160&lt;/cp-length&gt;</t>
        </is>
      </c>
    </row>
    <row r="161">
      <c r="A161" s="1" t="inlineStr">
        <is>
          <t xml:space="preserve">          &lt;cp-length-other&gt;144&lt;/cp-length-other&gt;</t>
        </is>
      </c>
    </row>
    <row r="162">
      <c r="A162" s="1" t="inlineStr">
        <is>
          <t xml:space="preserve">          &lt;offset-to-absolute-frequency-center&gt;0&lt;/offset-to-absolute-frequency-center&gt;</t>
        </is>
      </c>
    </row>
    <row r="163">
      <c r="A163" s="1" t="inlineStr">
        <is>
          <t xml:space="preserve">          &lt;number-of-prb-per-scs&gt;</t>
        </is>
      </c>
    </row>
    <row r="164">
      <c r="A164" s="8">
        <f>"            &lt;scs&gt;"&amp;'Control-Sheet'!$D52&amp;"&lt;/scs&gt;"</f>
        <v/>
      </c>
    </row>
    <row r="165">
      <c r="A165" s="8">
        <f>"            &lt;number-of-prb&gt;"&amp;'Control-Sheet'!$E52&amp;"&lt;/number-of-prb&gt;"</f>
        <v/>
      </c>
    </row>
    <row r="166">
      <c r="A166" s="1" t="inlineStr">
        <is>
          <t xml:space="preserve">          &lt;/number-of-prb-per-scs&gt;</t>
        </is>
      </c>
    </row>
    <row r="167">
      <c r="A167" s="1" t="inlineStr">
        <is>
          <t xml:space="preserve">          &lt;ul-fft-sampling-offsets&gt;</t>
        </is>
      </c>
    </row>
    <row r="168">
      <c r="A168" s="8">
        <f>"            &lt;scs&gt;"&amp;'Control-Sheet'!$D52&amp;"&lt;/scs&gt;"</f>
        <v/>
      </c>
    </row>
    <row r="169">
      <c r="A169" s="8">
        <f>"            &lt;ul-fft-sampling-offset&gt;"&amp;'Control-Sheet'!$F52&amp;"&lt;/ul-fft-sampling-offset&gt;"</f>
        <v/>
      </c>
    </row>
    <row r="170">
      <c r="A170" s="1" t="inlineStr">
        <is>
          <t xml:space="preserve">          &lt;/ul-fft-sampling-offsets&gt;</t>
        </is>
      </c>
    </row>
    <row r="171">
      <c r="A171" s="1" t="inlineStr">
        <is>
          <t xml:space="preserve">          &lt;e-axcid&gt;</t>
        </is>
      </c>
    </row>
    <row r="172">
      <c r="A172" s="1" t="inlineStr">
        <is>
          <t xml:space="preserve">            &lt;o-du-port-bitmask&gt;49152&lt;/o-du-port-bitmask&gt;</t>
        </is>
      </c>
    </row>
    <row r="173">
      <c r="A173" s="1" t="inlineStr">
        <is>
          <t xml:space="preserve">            &lt;band-sector-bitmask&gt;12288&lt;/band-sector-bitmask&gt;</t>
        </is>
      </c>
    </row>
    <row r="174">
      <c r="A174" s="1" t="inlineStr">
        <is>
          <t xml:space="preserve">            &lt;ccid-bitmask&gt;3840&lt;/ccid-bitmask&gt;</t>
        </is>
      </c>
    </row>
    <row r="175">
      <c r="A175" s="1" t="inlineStr">
        <is>
          <t xml:space="preserve">            &lt;ru-port-bitmask&gt;255&lt;/ru-port-bitmask&gt;</t>
        </is>
      </c>
    </row>
    <row r="176">
      <c r="A176" s="8">
        <f>"            &lt;eaxc-id&gt;"&amp;'Control-Sheet'!$G52&amp;"&lt;/eaxc-id&gt;"</f>
        <v/>
      </c>
    </row>
    <row r="177">
      <c r="A177" s="1" t="inlineStr">
        <is>
          <t xml:space="preserve">          &lt;/e-axcid&gt;</t>
        </is>
      </c>
    </row>
    <row r="178">
      <c r="A178" s="1" t="inlineStr">
        <is>
          <t xml:space="preserve">        &lt;/low-level-rx-endpoints&gt;</t>
        </is>
      </c>
    </row>
    <row r="179">
      <c r="A179" s="3" t="inlineStr">
        <is>
          <t xml:space="preserve">        &lt;low-level-rx-links&gt;</t>
        </is>
      </c>
    </row>
    <row r="180">
      <c r="A180" s="32">
        <f>"          &lt;name&gt;"&amp;'Control-Sheet'!$H52&amp;"&lt;/name&gt;"</f>
        <v/>
      </c>
    </row>
    <row r="181">
      <c r="A181" s="32">
        <f>"          &lt;processing-element&gt;"&amp;'Control-Sheet'!$I52&amp;"&lt;/processing-element&gt;"</f>
        <v/>
      </c>
    </row>
    <row r="182">
      <c r="A182" s="32">
        <f>"          &lt;rx-array-carrier&gt;"&amp;'Control-Sheet'!$J52&amp;"&lt;/rx-array-carrier&gt;"</f>
        <v/>
      </c>
    </row>
    <row r="183">
      <c r="A183" s="32">
        <f>"          &lt;low-level-rx-endpoint&gt;"&amp;'Control-Sheet'!$K52&amp;"&lt;/low-level-rx-endpoint&gt;"</f>
        <v/>
      </c>
    </row>
    <row r="184">
      <c r="A184" s="3" t="inlineStr">
        <is>
          <t xml:space="preserve">        &lt;/low-level-rx-links&gt;</t>
        </is>
      </c>
    </row>
    <row r="185">
      <c r="A185" s="0" t="n"/>
    </row>
    <row r="186">
      <c r="A186" s="0" t="n"/>
    </row>
    <row r="187">
      <c r="A187" s="1" t="inlineStr">
        <is>
          <t xml:space="preserve">        &lt;low-level-rx-endpoints&gt;</t>
        </is>
      </c>
    </row>
    <row r="188">
      <c r="A188" s="8">
        <f>"            &lt;name&gt;"&amp;'Control-Sheet'!$C53&amp;"&lt;/name&gt;"</f>
        <v/>
      </c>
    </row>
    <row r="189">
      <c r="A189" s="1" t="inlineStr">
        <is>
          <t xml:space="preserve">          &lt;compression&gt;</t>
        </is>
      </c>
    </row>
    <row r="190">
      <c r="A190" s="1" t="inlineStr">
        <is>
          <t xml:space="preserve">            &lt;compression-type&gt;STATIC&lt;/compression-type&gt;</t>
        </is>
      </c>
    </row>
    <row r="191">
      <c r="A191" s="1" t="inlineStr">
        <is>
          <t xml:space="preserve">            &lt;iq-bitwidth&gt;16&lt;/iq-bitwidth&gt;</t>
        </is>
      </c>
    </row>
    <row r="192">
      <c r="A192" s="1" t="inlineStr">
        <is>
          <t xml:space="preserve">          &lt;/compression&gt;</t>
        </is>
      </c>
    </row>
    <row r="193">
      <c r="A193" s="1" t="inlineStr">
        <is>
          <t xml:space="preserve">          &lt;frame-structure&gt;160&lt;/frame-structure&gt;</t>
        </is>
      </c>
    </row>
    <row r="194">
      <c r="A194" s="1" t="inlineStr">
        <is>
          <t xml:space="preserve">          &lt;cp-type&gt;NORMAL&lt;/cp-type&gt;</t>
        </is>
      </c>
    </row>
    <row r="195">
      <c r="A195" s="1" t="inlineStr">
        <is>
          <t xml:space="preserve">          &lt;cp-length&gt;160&lt;/cp-length&gt;</t>
        </is>
      </c>
    </row>
    <row r="196">
      <c r="A196" s="1" t="inlineStr">
        <is>
          <t xml:space="preserve">          &lt;cp-length-other&gt;144&lt;/cp-length-other&gt;</t>
        </is>
      </c>
    </row>
    <row r="197">
      <c r="A197" s="1" t="inlineStr">
        <is>
          <t xml:space="preserve">          &lt;offset-to-absolute-frequency-center&gt;0&lt;/offset-to-absolute-frequency-center&gt;</t>
        </is>
      </c>
    </row>
    <row r="198">
      <c r="A198" s="1" t="inlineStr">
        <is>
          <t xml:space="preserve">          &lt;number-of-prb-per-scs&gt;</t>
        </is>
      </c>
    </row>
    <row r="199">
      <c r="A199" s="8">
        <f>"            &lt;scs&gt;"&amp;'Control-Sheet'!$D53&amp;"&lt;/scs&gt;"</f>
        <v/>
      </c>
    </row>
    <row r="200">
      <c r="A200" s="8">
        <f>"            &lt;number-of-prb&gt;"&amp;'Control-Sheet'!$E53&amp;"&lt;/number-of-prb&gt;"</f>
        <v/>
      </c>
    </row>
    <row r="201">
      <c r="A201" s="1" t="inlineStr">
        <is>
          <t xml:space="preserve">          &lt;/number-of-prb-per-scs&gt;</t>
        </is>
      </c>
    </row>
    <row r="202">
      <c r="A202" s="1" t="inlineStr">
        <is>
          <t xml:space="preserve">          &lt;ul-fft-sampling-offsets&gt;</t>
        </is>
      </c>
    </row>
    <row r="203">
      <c r="A203" s="8">
        <f>"            &lt;scs&gt;"&amp;'Control-Sheet'!$D53&amp;"&lt;/scs&gt;"</f>
        <v/>
      </c>
    </row>
    <row r="204">
      <c r="A204" s="8">
        <f>"            &lt;ul-fft-sampling-offset&gt;"&amp;'Control-Sheet'!$F53&amp;"&lt;/ul-fft-sampling-offset&gt;"</f>
        <v/>
      </c>
    </row>
    <row r="205">
      <c r="A205" s="1" t="inlineStr">
        <is>
          <t xml:space="preserve">          &lt;/ul-fft-sampling-offsets&gt;</t>
        </is>
      </c>
    </row>
    <row r="206">
      <c r="A206" s="1" t="inlineStr">
        <is>
          <t xml:space="preserve">          &lt;e-axcid&gt;</t>
        </is>
      </c>
    </row>
    <row r="207">
      <c r="A207" s="1" t="inlineStr">
        <is>
          <t xml:space="preserve">            &lt;o-du-port-bitmask&gt;49152&lt;/o-du-port-bitmask&gt;</t>
        </is>
      </c>
    </row>
    <row r="208">
      <c r="A208" s="1" t="inlineStr">
        <is>
          <t xml:space="preserve">            &lt;band-sector-bitmask&gt;12288&lt;/band-sector-bitmask&gt;</t>
        </is>
      </c>
    </row>
    <row r="209">
      <c r="A209" s="1" t="inlineStr">
        <is>
          <t xml:space="preserve">            &lt;ccid-bitmask&gt;3840&lt;/ccid-bitmask&gt;</t>
        </is>
      </c>
    </row>
    <row r="210">
      <c r="A210" s="1" t="inlineStr">
        <is>
          <t xml:space="preserve">            &lt;ru-port-bitmask&gt;255&lt;/ru-port-bitmask&gt;</t>
        </is>
      </c>
    </row>
    <row r="211">
      <c r="A211" s="8">
        <f>"            &lt;eaxc-id&gt;"&amp;'Control-Sheet'!$G53&amp;"&lt;/eaxc-id&gt;"</f>
        <v/>
      </c>
    </row>
    <row r="212">
      <c r="A212" s="1" t="inlineStr">
        <is>
          <t xml:space="preserve">          &lt;/e-axcid&gt;</t>
        </is>
      </c>
    </row>
    <row r="213">
      <c r="A213" s="1" t="inlineStr">
        <is>
          <t xml:space="preserve">        &lt;/low-level-rx-endpoints&gt;</t>
        </is>
      </c>
    </row>
    <row r="214">
      <c r="A214" s="3" t="inlineStr">
        <is>
          <t xml:space="preserve">        &lt;low-level-rx-links&gt;</t>
        </is>
      </c>
    </row>
    <row r="215">
      <c r="A215" s="32">
        <f>"          &lt;name&gt;"&amp;'Control-Sheet'!$H53&amp;"&lt;/name&gt;"</f>
        <v/>
      </c>
    </row>
    <row r="216">
      <c r="A216" s="32">
        <f>"          &lt;processing-element&gt;"&amp;'Control-Sheet'!$I53&amp;"&lt;/processing-element&gt;"</f>
        <v/>
      </c>
    </row>
    <row r="217">
      <c r="A217" s="32">
        <f>"          &lt;rx-array-carrier&gt;"&amp;'Control-Sheet'!$J53&amp;"&lt;/rx-array-carrier&gt;"</f>
        <v/>
      </c>
    </row>
    <row r="218">
      <c r="A218" s="32">
        <f>"          &lt;low-level-rx-endpoint&gt;"&amp;'Control-Sheet'!$K53&amp;"&lt;/low-level-rx-endpoint&gt;"</f>
        <v/>
      </c>
    </row>
    <row r="219">
      <c r="A219" s="3" t="inlineStr">
        <is>
          <t xml:space="preserve">        &lt;/low-level-rx-links&gt;</t>
        </is>
      </c>
    </row>
    <row r="220">
      <c r="A220" s="0" t="n"/>
    </row>
    <row r="221">
      <c r="A221" s="0" t="n"/>
    </row>
    <row r="222">
      <c r="A222" s="1" t="inlineStr">
        <is>
          <t xml:space="preserve">        &lt;low-level-rx-endpoints&gt;</t>
        </is>
      </c>
    </row>
    <row r="223">
      <c r="A223" s="8">
        <f>"            &lt;name&gt;"&amp;'Control-Sheet'!$C54&amp;"&lt;/name&gt;"</f>
        <v/>
      </c>
    </row>
    <row r="224">
      <c r="A224" s="1" t="inlineStr">
        <is>
          <t xml:space="preserve">          &lt;compression&gt;</t>
        </is>
      </c>
    </row>
    <row r="225">
      <c r="A225" s="1" t="inlineStr">
        <is>
          <t xml:space="preserve">            &lt;compression-type&gt;STATIC&lt;/compression-type&gt;</t>
        </is>
      </c>
    </row>
    <row r="226">
      <c r="A226" s="1" t="inlineStr">
        <is>
          <t xml:space="preserve">            &lt;iq-bitwidth&gt;16&lt;/iq-bitwidth&gt;</t>
        </is>
      </c>
    </row>
    <row r="227">
      <c r="A227" s="1" t="inlineStr">
        <is>
          <t xml:space="preserve">          &lt;/compression&gt;</t>
        </is>
      </c>
    </row>
    <row r="228">
      <c r="A228" s="1" t="inlineStr">
        <is>
          <t xml:space="preserve">          &lt;frame-structure&gt;160&lt;/frame-structure&gt;</t>
        </is>
      </c>
    </row>
    <row r="229">
      <c r="A229" s="1" t="inlineStr">
        <is>
          <t xml:space="preserve">          &lt;cp-type&gt;NORMAL&lt;/cp-type&gt;</t>
        </is>
      </c>
    </row>
    <row r="230">
      <c r="A230" s="1" t="inlineStr">
        <is>
          <t xml:space="preserve">          &lt;cp-length&gt;160&lt;/cp-length&gt;</t>
        </is>
      </c>
    </row>
    <row r="231">
      <c r="A231" s="1" t="inlineStr">
        <is>
          <t xml:space="preserve">          &lt;cp-length-other&gt;144&lt;/cp-length-other&gt;</t>
        </is>
      </c>
    </row>
    <row r="232">
      <c r="A232" s="1" t="inlineStr">
        <is>
          <t xml:space="preserve">          &lt;offset-to-absolute-frequency-center&gt;0&lt;/offset-to-absolute-frequency-center&gt;</t>
        </is>
      </c>
    </row>
    <row r="233">
      <c r="A233" s="1" t="inlineStr">
        <is>
          <t xml:space="preserve">          &lt;number-of-prb-per-scs&gt;</t>
        </is>
      </c>
    </row>
    <row r="234">
      <c r="A234" s="8">
        <f>"            &lt;scs&gt;"&amp;'Control-Sheet'!$D54&amp;"&lt;/scs&gt;"</f>
        <v/>
      </c>
    </row>
    <row r="235">
      <c r="A235" s="8">
        <f>"            &lt;number-of-prb&gt;"&amp;'Control-Sheet'!$E54&amp;"&lt;/number-of-prb&gt;"</f>
        <v/>
      </c>
    </row>
    <row r="236">
      <c r="A236" s="1" t="inlineStr">
        <is>
          <t xml:space="preserve">          &lt;/number-of-prb-per-scs&gt;</t>
        </is>
      </c>
    </row>
    <row r="237">
      <c r="A237" s="1" t="inlineStr">
        <is>
          <t xml:space="preserve">          &lt;ul-fft-sampling-offsets&gt;</t>
        </is>
      </c>
    </row>
    <row r="238">
      <c r="A238" s="8">
        <f>"            &lt;scs&gt;"&amp;'Control-Sheet'!$D54&amp;"&lt;/scs&gt;"</f>
        <v/>
      </c>
    </row>
    <row r="239">
      <c r="A239" s="8">
        <f>"            &lt;ul-fft-sampling-offset&gt;"&amp;'Control-Sheet'!$F54&amp;"&lt;/ul-fft-sampling-offset&gt;"</f>
        <v/>
      </c>
    </row>
    <row r="240">
      <c r="A240" s="1" t="inlineStr">
        <is>
          <t xml:space="preserve">          &lt;/ul-fft-sampling-offsets&gt;</t>
        </is>
      </c>
    </row>
    <row r="241">
      <c r="A241" s="1" t="inlineStr">
        <is>
          <t xml:space="preserve">          &lt;e-axcid&gt;</t>
        </is>
      </c>
    </row>
    <row r="242">
      <c r="A242" s="1" t="inlineStr">
        <is>
          <t xml:space="preserve">            &lt;o-du-port-bitmask&gt;49152&lt;/o-du-port-bitmask&gt;</t>
        </is>
      </c>
    </row>
    <row r="243">
      <c r="A243" s="1" t="inlineStr">
        <is>
          <t xml:space="preserve">            &lt;band-sector-bitmask&gt;12288&lt;/band-sector-bitmask&gt;</t>
        </is>
      </c>
    </row>
    <row r="244">
      <c r="A244" s="1" t="inlineStr">
        <is>
          <t xml:space="preserve">            &lt;ccid-bitmask&gt;3840&lt;/ccid-bitmask&gt;</t>
        </is>
      </c>
    </row>
    <row r="245">
      <c r="A245" s="1" t="inlineStr">
        <is>
          <t xml:space="preserve">            &lt;ru-port-bitmask&gt;255&lt;/ru-port-bitmask&gt;</t>
        </is>
      </c>
    </row>
    <row r="246">
      <c r="A246" s="8">
        <f>"            &lt;eaxc-id&gt;"&amp;'Control-Sheet'!$G54&amp;"&lt;/eaxc-id&gt;"</f>
        <v/>
      </c>
    </row>
    <row r="247">
      <c r="A247" s="1" t="inlineStr">
        <is>
          <t xml:space="preserve">          &lt;/e-axcid&gt;</t>
        </is>
      </c>
    </row>
    <row r="248">
      <c r="A248" s="1" t="inlineStr">
        <is>
          <t xml:space="preserve">        &lt;/low-level-rx-endpoints&gt;</t>
        </is>
      </c>
    </row>
    <row r="249">
      <c r="A249" s="3" t="inlineStr">
        <is>
          <t xml:space="preserve">        &lt;low-level-rx-links&gt;</t>
        </is>
      </c>
    </row>
    <row r="250">
      <c r="A250" s="32">
        <f>"          &lt;name&gt;"&amp;'Control-Sheet'!$H54&amp;"&lt;/name&gt;"</f>
        <v/>
      </c>
    </row>
    <row r="251">
      <c r="A251" s="32">
        <f>"          &lt;processing-element&gt;"&amp;'Control-Sheet'!$I54&amp;"&lt;/processing-element&gt;"</f>
        <v/>
      </c>
    </row>
    <row r="252">
      <c r="A252" s="32">
        <f>"          &lt;rx-array-carrier&gt;"&amp;'Control-Sheet'!$J54&amp;"&lt;/rx-array-carrier&gt;"</f>
        <v/>
      </c>
    </row>
    <row r="253">
      <c r="A253" s="32">
        <f>"          &lt;low-level-rx-endpoint&gt;"&amp;'Control-Sheet'!$K54&amp;"&lt;/low-level-rx-endpoint&gt;"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 s="0" t="n"/>
    </row>
    <row r="256">
      <c r="A256" s="0" t="n"/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&lt;name&gt;"&amp;'Control-Sheet'!$C55&amp;"&lt;/name&gt;"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1" t="inlineStr">
        <is>
          <t xml:space="preserve">            &lt;iq-bitwidth&gt;16&lt;/iq-bitwidth&gt;</t>
        </is>
      </c>
    </row>
    <row r="262">
      <c r="A262" s="1" t="inlineStr">
        <is>
          <t xml:space="preserve">          &lt;/compression&gt;</t>
        </is>
      </c>
    </row>
    <row r="263">
      <c r="A263" s="1" t="inlineStr">
        <is>
          <t xml:space="preserve">          &lt;frame-structure&gt;160&lt;/frame-structure&gt;</t>
        </is>
      </c>
    </row>
    <row r="264">
      <c r="A264" s="1" t="inlineStr">
        <is>
          <t xml:space="preserve">          &lt;cp-type&gt;NORMAL&lt;/cp-type&gt;</t>
        </is>
      </c>
    </row>
    <row r="265">
      <c r="A265" s="1" t="inlineStr">
        <is>
          <t xml:space="preserve">          &lt;cp-length&gt;160&lt;/cp-length&gt;</t>
        </is>
      </c>
    </row>
    <row r="266">
      <c r="A266" s="1" t="inlineStr">
        <is>
          <t xml:space="preserve">          &lt;cp-length-other&gt;144&lt;/cp-length-other&gt;</t>
        </is>
      </c>
    </row>
    <row r="267">
      <c r="A267" s="1" t="inlineStr">
        <is>
          <t xml:space="preserve">          &lt;offset-to-absolute-frequency-center&gt;0&lt;/offset-to-absolute-frequency-center&gt;</t>
        </is>
      </c>
    </row>
    <row r="268">
      <c r="A268" s="1" t="inlineStr">
        <is>
          <t xml:space="preserve">          &lt;number-of-prb-per-scs&gt;</t>
        </is>
      </c>
    </row>
    <row r="269">
      <c r="A269" s="8">
        <f>"            &lt;scs&gt;"&amp;'Control-Sheet'!$D55&amp;"&lt;/scs&gt;"</f>
        <v/>
      </c>
    </row>
    <row r="270">
      <c r="A270" s="8">
        <f>"            &lt;number-of-prb&gt;"&amp;'Control-Sheet'!$E55&amp;"&lt;/number-of-prb&gt;"</f>
        <v/>
      </c>
    </row>
    <row r="271">
      <c r="A271" s="1" t="inlineStr">
        <is>
          <t xml:space="preserve">          &lt;/number-of-prb-per-scs&gt;</t>
        </is>
      </c>
    </row>
    <row r="272">
      <c r="A272" s="1" t="inlineStr">
        <is>
          <t xml:space="preserve">          &lt;ul-fft-sampling-offsets&gt;</t>
        </is>
      </c>
    </row>
    <row r="273">
      <c r="A273" s="8">
        <f>"            &lt;scs&gt;"&amp;'Control-Sheet'!$D55&amp;"&lt;/scs&gt;"</f>
        <v/>
      </c>
    </row>
    <row r="274">
      <c r="A274" s="8">
        <f>"            &lt;ul-fft-sampling-offset&gt;"&amp;'Control-Sheet'!$F55&amp;"&lt;/ul-fft-sampling-offset&gt;"</f>
        <v/>
      </c>
    </row>
    <row r="275">
      <c r="A275" s="1" t="inlineStr">
        <is>
          <t xml:space="preserve">          &lt;/ul-fft-sampling-offsets&gt;</t>
        </is>
      </c>
    </row>
    <row r="276">
      <c r="A276" s="1" t="inlineStr">
        <is>
          <t xml:space="preserve">          &lt;e-axcid&gt;</t>
        </is>
      </c>
    </row>
    <row r="277">
      <c r="A277" s="1" t="inlineStr">
        <is>
          <t xml:space="preserve">            &lt;o-du-port-bitmask&gt;49152&lt;/o-du-port-bitmask&gt;</t>
        </is>
      </c>
    </row>
    <row r="278">
      <c r="A278" s="1" t="inlineStr">
        <is>
          <t xml:space="preserve">            &lt;band-sector-bitmask&gt;12288&lt;/band-sector-bitmask&gt;</t>
        </is>
      </c>
    </row>
    <row r="279">
      <c r="A279" s="1" t="inlineStr">
        <is>
          <t xml:space="preserve">            &lt;ccid-bitmask&gt;3840&lt;/ccid-bitmask&gt;</t>
        </is>
      </c>
    </row>
    <row r="280">
      <c r="A280" s="1" t="inlineStr">
        <is>
          <t xml:space="preserve">            &lt;ru-port-bitmask&gt;255&lt;/ru-port-bitmask&gt;</t>
        </is>
      </c>
    </row>
    <row r="281">
      <c r="A281" s="8">
        <f>"            &lt;eaxc-id&gt;"&amp;'Control-Sheet'!$G55&amp;"&lt;/eaxc-id&gt;"</f>
        <v/>
      </c>
    </row>
    <row r="282">
      <c r="A282" s="1" t="inlineStr">
        <is>
          <t xml:space="preserve">          &lt;/e-axcid&gt;</t>
        </is>
      </c>
    </row>
    <row r="283">
      <c r="A283" s="1" t="inlineStr">
        <is>
          <t xml:space="preserve">        &lt;/low-level-rx-endpoints&gt;</t>
        </is>
      </c>
    </row>
    <row r="284">
      <c r="A284" s="3" t="inlineStr">
        <is>
          <t xml:space="preserve">        &lt;low-level-rx-links&gt;</t>
        </is>
      </c>
    </row>
    <row r="285">
      <c r="A285" s="32">
        <f>"          &lt;name&gt;"&amp;'Control-Sheet'!$H55&amp;"&lt;/name&gt;"</f>
        <v/>
      </c>
    </row>
    <row r="286">
      <c r="A286" s="32">
        <f>"          &lt;processing-element&gt;"&amp;'Control-Sheet'!$I55&amp;"&lt;/processing-element&gt;"</f>
        <v/>
      </c>
    </row>
    <row r="287">
      <c r="A287" s="32">
        <f>"          &lt;rx-array-carrier&gt;"&amp;'Control-Sheet'!$J55&amp;"&lt;/rx-array-carrier&gt;"</f>
        <v/>
      </c>
    </row>
    <row r="288">
      <c r="A288" s="32">
        <f>"          &lt;low-level-rx-endpoint&gt;"&amp;'Control-Sheet'!$K55&amp;"&lt;/low-level-rx-endpoint&gt;"</f>
        <v/>
      </c>
    </row>
    <row r="289">
      <c r="A289" s="3" t="inlineStr">
        <is>
          <t xml:space="preserve">        &lt;/low-level-rx-links&gt;</t>
        </is>
      </c>
    </row>
    <row r="290">
      <c r="A290" s="0" t="n"/>
    </row>
    <row r="291">
      <c r="A291" s="0" t="n"/>
    </row>
    <row r="292">
      <c r="A292" s="33" t="inlineStr">
        <is>
          <t xml:space="preserve">      &lt;/user-plane-configuration&gt;</t>
        </is>
      </c>
    </row>
    <row r="293">
      <c r="A293" s="33" t="inlineStr">
        <is>
          <t xml:space="preserve">    &lt;/config&gt;</t>
        </is>
      </c>
    </row>
    <row r="294">
      <c r="A294" s="33" t="inlineStr">
        <is>
          <t xml:space="preserve">  &lt;/edit-config&gt;</t>
        </is>
      </c>
    </row>
    <row r="295">
      <c r="A295" s="33" t="inlineStr">
        <is>
          <t>&lt;/rpc&gt;</t>
        </is>
      </c>
    </row>
  </sheetData>
  <autoFilter ref="A1:A295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topLeftCell="A46" workbookViewId="0">
      <selection activeCell="D82" sqref="D82"/>
    </sheetView>
  </sheetViews>
  <sheetFormatPr baseColWidth="8" defaultRowHeight="13.5"/>
  <cols>
    <col width="64.85546875" bestFit="1" customWidth="1" style="37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8">
      <c r="A8" s="0" t="inlineStr">
        <is>
          <t xml:space="preserve">        &lt;tx-array-carriers&gt;</t>
        </is>
      </c>
    </row>
    <row r="9">
      <c r="A9" s="34">
        <f>"          &lt;name&gt;"&amp;'Control-Sheet'!$K20&amp;"&lt;/name&gt;"</f>
        <v/>
      </c>
    </row>
    <row r="10">
      <c r="A10" s="0" t="inlineStr">
        <is>
          <t xml:space="preserve">          &lt;active&gt;ACTIVE&lt;/active&gt;</t>
        </is>
      </c>
    </row>
    <row r="11">
      <c r="A11" s="0" t="inlineStr">
        <is>
          <t xml:space="preserve">        &lt;/tx-array-carriers&gt;</t>
        </is>
      </c>
    </row>
    <row r="12">
      <c r="A12" s="0" t="inlineStr">
        <is>
          <t xml:space="preserve">        &lt;tx-array-carriers&gt;</t>
        </is>
      </c>
    </row>
    <row r="13">
      <c r="A13" s="34">
        <f>"          &lt;name&gt;"&amp;'Control-Sheet'!$K21&amp;"&lt;/name&gt;"</f>
        <v/>
      </c>
    </row>
    <row r="14">
      <c r="A14" s="0" t="inlineStr">
        <is>
          <t xml:space="preserve">          &lt;active&gt;ACTIVE&lt;/active&gt;</t>
        </is>
      </c>
    </row>
    <row r="15">
      <c r="A15" s="0" t="inlineStr">
        <is>
          <t xml:space="preserve">        &lt;/tx-array-carriers&gt;</t>
        </is>
      </c>
    </row>
    <row r="16">
      <c r="A16" s="0" t="inlineStr">
        <is>
          <t xml:space="preserve">        &lt;tx-array-carriers&gt;</t>
        </is>
      </c>
    </row>
    <row r="17">
      <c r="A17" s="34">
        <f>"          &lt;name&gt;"&amp;'Control-Sheet'!$K22&amp;"&lt;/name&gt;"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 s="0" t="inlineStr">
        <is>
          <t xml:space="preserve">        &lt;tx-array-carriers&gt;</t>
        </is>
      </c>
    </row>
    <row r="21">
      <c r="A21" s="34">
        <f>"          &lt;name&gt;"&amp;'Control-Sheet'!$K23&amp;"&lt;/name&gt;"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34">
        <f>"          &lt;name&gt;"&amp;'Control-Sheet'!$K24&amp;"&lt;/name&gt;"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 t="inlineStr">
        <is>
          <t xml:space="preserve">        &lt;tx-array-carriers&gt;</t>
        </is>
      </c>
    </row>
    <row r="29">
      <c r="A29" s="34">
        <f>"          &lt;name&gt;"&amp;'Control-Sheet'!$K25&amp;"&lt;/name&gt;"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 s="0" t="inlineStr">
        <is>
          <t xml:space="preserve">        &lt;tx-array-carriers&gt;</t>
        </is>
      </c>
    </row>
    <row r="33">
      <c r="A33" s="34">
        <f>"          &lt;name&gt;"&amp;'Control-Sheet'!$K26&amp;"&lt;/name&gt;"</f>
        <v/>
      </c>
    </row>
    <row r="34">
      <c r="A34" s="0" t="inlineStr">
        <is>
          <t xml:space="preserve">          &lt;active&gt;ACTIVE&lt;/active&gt;</t>
        </is>
      </c>
    </row>
    <row r="35">
      <c r="A35" s="0" t="inlineStr">
        <is>
          <t xml:space="preserve">        &lt;/tx-array-carriers&gt;</t>
        </is>
      </c>
    </row>
    <row r="36">
      <c r="A36" s="0" t="inlineStr">
        <is>
          <t xml:space="preserve">        &lt;tx-array-carriers&gt;</t>
        </is>
      </c>
    </row>
    <row r="37">
      <c r="A37" s="34">
        <f>"          &lt;name&gt;"&amp;'Control-Sheet'!$K27&amp;"&lt;/name&gt;"</f>
        <v/>
      </c>
    </row>
    <row r="38">
      <c r="A38" s="0" t="inlineStr">
        <is>
          <t xml:space="preserve">          &lt;active&gt;ACTIVE&lt;/active&gt;</t>
        </is>
      </c>
      <c r="B38" s="34" t="n"/>
    </row>
    <row r="39">
      <c r="A39" s="0" t="inlineStr">
        <is>
          <t xml:space="preserve">        &lt;/tx-array-carriers&gt;</t>
        </is>
      </c>
    </row>
    <row r="42">
      <c r="A42" s="0" t="inlineStr">
        <is>
          <t xml:space="preserve">        &lt;rx-array-carriers&gt;</t>
        </is>
      </c>
    </row>
    <row r="43">
      <c r="A43" s="34">
        <f>"          &lt;name&gt;"&amp;'Control-Sheet'!$L34&amp;"&lt;/name&gt;"</f>
        <v/>
      </c>
    </row>
    <row r="44">
      <c r="A44" s="0" t="inlineStr">
        <is>
          <t xml:space="preserve">          &lt;active&gt;ACTIVE&lt;/active&gt;</t>
        </is>
      </c>
    </row>
    <row r="45">
      <c r="A45" s="0" t="inlineStr">
        <is>
          <t xml:space="preserve">        &lt;/rx-array-carriers&gt;</t>
        </is>
      </c>
    </row>
    <row r="46">
      <c r="A46" s="0" t="inlineStr">
        <is>
          <t xml:space="preserve">        &lt;rx-array-carriers&gt;</t>
        </is>
      </c>
    </row>
    <row r="47">
      <c r="A47" s="34">
        <f>"          &lt;name&gt;"&amp;'Control-Sheet'!$L35&amp;"&lt;/name&gt;"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&lt;/rx-array-carriers&gt;</t>
        </is>
      </c>
    </row>
    <row r="50">
      <c r="A50" s="0" t="inlineStr">
        <is>
          <t xml:space="preserve">        &lt;rx-array-carriers&gt;</t>
        </is>
      </c>
    </row>
    <row r="51">
      <c r="A51" s="34">
        <f>"          &lt;name&gt;"&amp;'Control-Sheet'!$L36&amp;"&lt;/name&gt;"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34">
        <f>"          &lt;name&gt;"&amp;'Control-Sheet'!$L37&amp;"&lt;/name&gt;"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 t="inlineStr">
        <is>
          <t xml:space="preserve">        &lt;rx-array-carriers&gt;</t>
        </is>
      </c>
    </row>
    <row r="59">
      <c r="A59" s="34">
        <f>"          &lt;name&gt;"&amp;'Control-Sheet'!$L38&amp;"&lt;/name&gt;"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 s="0" t="inlineStr">
        <is>
          <t xml:space="preserve">        &lt;rx-array-carriers&gt;</t>
        </is>
      </c>
    </row>
    <row r="63">
      <c r="A63" s="34">
        <f>"          &lt;name&gt;"&amp;'Control-Sheet'!$L39&amp;"&lt;/name&gt;"</f>
        <v/>
      </c>
    </row>
    <row r="64">
      <c r="A64" s="0" t="inlineStr">
        <is>
          <t xml:space="preserve">          &lt;active&gt;ACTIVE&lt;/active&gt;</t>
        </is>
      </c>
    </row>
    <row r="65">
      <c r="A65" s="0" t="inlineStr">
        <is>
          <t xml:space="preserve">        &lt;/rx-array-carriers&gt;</t>
        </is>
      </c>
    </row>
    <row r="66">
      <c r="A66" s="0" t="inlineStr">
        <is>
          <t xml:space="preserve">        &lt;rx-array-carriers&gt;</t>
        </is>
      </c>
    </row>
    <row r="67">
      <c r="A67" s="34">
        <f>"          &lt;name&gt;"&amp;'Control-Sheet'!$L40&amp;"&lt;/name&gt;"</f>
        <v/>
      </c>
    </row>
    <row r="68">
      <c r="A68" s="0" t="inlineStr">
        <is>
          <t xml:space="preserve">          &lt;active&gt;ACTIVE&lt;/active&gt;</t>
        </is>
      </c>
    </row>
    <row r="69">
      <c r="A69" s="0" t="inlineStr">
        <is>
          <t xml:space="preserve">        &lt;/rx-array-carriers&gt;</t>
        </is>
      </c>
    </row>
    <row r="70">
      <c r="A70" s="0" t="inlineStr">
        <is>
          <t xml:space="preserve">        &lt;rx-array-carriers&gt;</t>
        </is>
      </c>
    </row>
    <row r="71">
      <c r="A71" s="34">
        <f>"          &lt;name&gt;"&amp;'Control-Sheet'!$L41&amp;"&lt;/name&gt;"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6">
      <c r="A76" s="0" t="inlineStr">
        <is>
          <t xml:space="preserve">      &lt;/user-plane-configuration&gt;</t>
        </is>
      </c>
    </row>
    <row r="77">
      <c r="A77" s="0" t="inlineStr">
        <is>
          <t xml:space="preserve">    &lt;/config&gt;</t>
        </is>
      </c>
    </row>
    <row r="78">
      <c r="A78" s="0" t="inlineStr">
        <is>
          <t xml:space="preserve">  &lt;/edit-config&gt;</t>
        </is>
      </c>
    </row>
    <row r="79">
      <c r="A79" s="0" t="inlineStr">
        <is>
          <t>&lt;/rpc&gt;</t>
        </is>
      </c>
    </row>
  </sheetData>
  <autoFilter ref="A1:A7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2026-05-11T01:26:31Z</dcterms:modified>
  <cp:lastModifiedBy>김경민(시스템스)</cp:lastModifiedBy>
</cp:coreProperties>
</file>