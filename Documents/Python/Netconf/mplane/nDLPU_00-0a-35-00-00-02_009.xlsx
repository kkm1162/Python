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120" windowWidth="39255" windowHeight="1890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2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9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10" fontId="0" fillId="0" borderId="10" applyAlignment="1" pivotButton="0" quotePrefix="0" xfId="2">
      <alignment horizontal="center" vertical="center"/>
    </xf>
    <xf numFmtId="164" fontId="8" fillId="0" borderId="11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8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11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0" fillId="0" borderId="15" pivotButton="0" quotePrefix="0" xfId="0"/>
    <xf numFmtId="0" fontId="8" fillId="0" borderId="3" applyAlignment="1" pivotButton="0" quotePrefix="0" xfId="1">
      <alignment horizontal="center" vertical="center"/>
    </xf>
    <xf numFmtId="0" fontId="0" fillId="0" borderId="17" pivotButton="0" quotePrefix="0" xfId="0"/>
    <xf numFmtId="0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1" pivotButton="0" quotePrefix="0" xfId="0"/>
    <xf numFmtId="164" fontId="8" fillId="0" borderId="11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topLeftCell="A6" zoomScale="85" zoomScaleNormal="85" workbookViewId="0">
      <selection activeCell="D34" sqref="D34"/>
    </sheetView>
  </sheetViews>
  <sheetFormatPr baseColWidth="8" defaultRowHeight="13.5"/>
  <cols>
    <col width="14.28515625" customWidth="1" style="60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60" min="20" max="20"/>
  </cols>
  <sheetData>
    <row r="1"/>
    <row r="2"/>
    <row r="3">
      <c r="B3" s="0" t="inlineStr">
        <is>
          <t>1. Cuplane-interface</t>
        </is>
      </c>
      <c r="N3" s="61" t="n"/>
      <c r="O3" s="61" t="inlineStr">
        <is>
          <t>NR</t>
        </is>
      </c>
      <c r="P3" s="63" t="n"/>
      <c r="Q3" s="61" t="inlineStr">
        <is>
          <t>LTE</t>
        </is>
      </c>
    </row>
    <row r="4">
      <c r="G4" s="61" t="inlineStr">
        <is>
          <t>삭제 금지</t>
        </is>
      </c>
      <c r="H4" s="64" t="n"/>
      <c r="I4" s="64" t="n"/>
      <c r="J4" s="64" t="n"/>
      <c r="K4" s="63" t="n"/>
      <c r="N4" s="57" t="inlineStr">
        <is>
          <t>BW</t>
        </is>
      </c>
      <c r="O4" s="61" t="inlineStr">
        <is>
          <t>KHZ_15</t>
        </is>
      </c>
      <c r="P4" s="61" t="inlineStr">
        <is>
          <t>KHZ_30</t>
        </is>
      </c>
      <c r="Q4" s="61" t="inlineStr">
        <is>
          <t>KHZ_15</t>
        </is>
      </c>
    </row>
    <row r="5">
      <c r="C5" s="6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1" t="inlineStr">
        <is>
          <t xml:space="preserve">            &lt;exponent&gt;4&lt;/exponent&gt;</t>
        </is>
      </c>
      <c r="H5" s="61" t="n"/>
      <c r="I5" s="61" t="n"/>
      <c r="J5" s="61" t="n"/>
      <c r="K5" s="61" t="inlineStr">
        <is>
          <t>&lt;!--</t>
        </is>
      </c>
      <c r="N5" s="57" t="n">
        <v>5</v>
      </c>
      <c r="O5" s="61" t="n">
        <v>25</v>
      </c>
      <c r="P5" s="61" t="n">
        <v>11</v>
      </c>
      <c r="Q5" s="61" t="n">
        <v>25</v>
      </c>
    </row>
    <row r="6">
      <c r="C6" s="6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1" t="n"/>
      <c r="I6" s="61" t="n"/>
      <c r="J6" s="61" t="n"/>
      <c r="K6" s="61" t="inlineStr">
        <is>
          <t>--&gt;</t>
        </is>
      </c>
      <c r="N6" s="61" t="n">
        <v>10</v>
      </c>
      <c r="O6" s="61" t="n">
        <v>52</v>
      </c>
      <c r="P6" s="61" t="n">
        <v>24</v>
      </c>
      <c r="Q6" s="61" t="n">
        <v>50</v>
      </c>
    </row>
    <row r="7">
      <c r="C7" s="61" t="inlineStr">
        <is>
          <t>vlan id</t>
        </is>
      </c>
      <c r="D7" s="13" t="n">
        <v>1000</v>
      </c>
      <c r="E7" s="21" t="n"/>
      <c r="N7" s="61" t="n">
        <v>15</v>
      </c>
      <c r="O7" s="61" t="n">
        <v>79</v>
      </c>
      <c r="P7" s="61" t="n">
        <v>38</v>
      </c>
      <c r="Q7" s="61" t="n">
        <v>75</v>
      </c>
    </row>
    <row r="8">
      <c r="C8" s="6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1" t="n">
        <v>20</v>
      </c>
      <c r="O8" s="61" t="n">
        <v>106</v>
      </c>
      <c r="P8" s="61" t="n">
        <v>51</v>
      </c>
      <c r="Q8" s="61" t="n">
        <v>100</v>
      </c>
    </row>
    <row r="9">
      <c r="N9" s="61" t="n">
        <v>25</v>
      </c>
      <c r="O9" s="61" t="n">
        <v>216</v>
      </c>
      <c r="P9" s="61" t="n">
        <v>65</v>
      </c>
      <c r="Q9" s="61" t="n"/>
    </row>
    <row r="10">
      <c r="N10" s="61" t="n">
        <v>30</v>
      </c>
      <c r="O10" s="61" t="n">
        <v>270</v>
      </c>
      <c r="P10" s="61" t="n">
        <v>78</v>
      </c>
      <c r="Q10" s="61" t="n"/>
    </row>
    <row r="11">
      <c r="B11" s="0" t="inlineStr">
        <is>
          <t>2. Processing element</t>
        </is>
      </c>
      <c r="N11" s="61" t="n">
        <v>40</v>
      </c>
      <c r="O11" s="61" t="n"/>
      <c r="P11" s="61" t="n">
        <v>106</v>
      </c>
      <c r="Q11" s="61" t="n"/>
    </row>
    <row r="12">
      <c r="N12" s="61" t="n">
        <v>50</v>
      </c>
      <c r="O12" s="61" t="n"/>
      <c r="P12" s="61" t="n">
        <v>133</v>
      </c>
      <c r="Q12" s="61" t="n"/>
    </row>
    <row r="13">
      <c r="C13" s="6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1" t="n">
        <v>60</v>
      </c>
      <c r="O13" s="61" t="n"/>
      <c r="P13" s="61" t="n">
        <v>162</v>
      </c>
      <c r="Q13" s="61" t="n"/>
    </row>
    <row r="14" ht="27" customHeight="1" s="60">
      <c r="C14" s="6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1" t="n">
        <v>80</v>
      </c>
      <c r="O14" s="61" t="n"/>
      <c r="P14" s="61" t="n">
        <v>217</v>
      </c>
      <c r="Q14" s="61" t="n"/>
    </row>
    <row r="15">
      <c r="N15" s="61" t="n">
        <v>90</v>
      </c>
      <c r="O15" s="61" t="n"/>
      <c r="P15" s="61" t="n">
        <v>245</v>
      </c>
      <c r="Q15" s="61" t="n"/>
    </row>
    <row r="16">
      <c r="B16" s="0" t="n"/>
      <c r="N16" s="61" t="n">
        <v>100</v>
      </c>
      <c r="O16" s="61" t="n"/>
      <c r="P16" s="61" t="n">
        <v>273</v>
      </c>
      <c r="Q16" s="61" t="n"/>
    </row>
    <row r="17">
      <c r="B17" s="10" t="n"/>
      <c r="G17" s="59" t="n"/>
      <c r="H17" s="59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6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62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B23" s="61" t="inlineStr">
        <is>
          <t>C0</t>
        </is>
      </c>
      <c r="C23" s="61" t="inlineStr">
        <is>
          <t>llte_0_0_0_1_0_0</t>
        </is>
      </c>
      <c r="D23" s="61" t="inlineStr">
        <is>
          <t>KHZ_30</t>
        </is>
      </c>
      <c r="E23" s="61" t="inlineStr">
        <is>
          <t>133</t>
        </is>
      </c>
      <c r="F23" s="13" t="inlineStr">
        <is>
          <t>2</t>
        </is>
      </c>
      <c r="G23" s="61" t="inlineStr">
        <is>
          <t>llte_0_0_0_1_0_0</t>
        </is>
      </c>
      <c r="H23" s="61" t="inlineStr">
        <is>
          <t>ru-pe.0</t>
        </is>
      </c>
      <c r="I23" s="61" t="inlineStr">
        <is>
          <t>tac_0_0_0_1</t>
        </is>
      </c>
      <c r="J23" s="61" t="inlineStr">
        <is>
          <t>llte_0_0_0_1_0_0</t>
        </is>
      </c>
      <c r="K23" s="61" t="inlineStr">
        <is>
          <t>tac_0_0_0_1</t>
        </is>
      </c>
      <c r="L23" s="61" t="inlineStr">
        <is>
          <t>9</t>
        </is>
      </c>
      <c r="M23" s="61" t="inlineStr">
        <is>
          <t>BFP</t>
        </is>
      </c>
      <c r="N23" s="61" t="inlineStr">
        <is>
          <t>3900</t>
        </is>
      </c>
      <c r="O23" s="61" t="inlineStr">
        <is>
          <t>50000000</t>
        </is>
      </c>
      <c r="P23" s="61" t="inlineStr">
        <is>
          <t>NR</t>
        </is>
      </c>
      <c r="Q23" s="61" t="inlineStr">
        <is>
          <t>0</t>
        </is>
      </c>
      <c r="R23" s="61" t="inlineStr">
        <is>
          <t>19646</t>
        </is>
      </c>
      <c r="S23" t="inlineStr"/>
      <c r="T23" s="0" t="n">
        <v>6.8</v>
      </c>
      <c r="V23" s="10">
        <f>DEC2HEX(F23)</f>
        <v/>
      </c>
      <c r="W23" s="0" t="n">
        <v>7</v>
      </c>
    </row>
    <row r="24">
      <c r="B24" s="61" t="inlineStr">
        <is>
          <t>C1</t>
        </is>
      </c>
      <c r="C24" s="61" t="inlineStr">
        <is>
          <t>llte_0_0_1_1_0_0</t>
        </is>
      </c>
      <c r="D24" s="61" t="inlineStr">
        <is>
          <t>KHZ_30</t>
        </is>
      </c>
      <c r="E24" s="61" t="inlineStr">
        <is>
          <t>133</t>
        </is>
      </c>
      <c r="F24" s="13" t="inlineStr">
        <is>
          <t>3</t>
        </is>
      </c>
      <c r="G24" s="61" t="inlineStr">
        <is>
          <t>llte_0_0_1_1_0_0</t>
        </is>
      </c>
      <c r="H24" s="61" t="inlineStr">
        <is>
          <t>ru-pe.0</t>
        </is>
      </c>
      <c r="I24" s="61" t="inlineStr">
        <is>
          <t>tac_0_0_1_1</t>
        </is>
      </c>
      <c r="J24" s="61" t="inlineStr">
        <is>
          <t>llte_0_0_1_1_0_0</t>
        </is>
      </c>
      <c r="K24" s="61" t="inlineStr">
        <is>
          <t>tac_0_0_1_1</t>
        </is>
      </c>
      <c r="L24" s="61" t="inlineStr">
        <is>
          <t>9</t>
        </is>
      </c>
      <c r="M24" s="61" t="inlineStr">
        <is>
          <t>BFP</t>
        </is>
      </c>
      <c r="N24" s="61" t="inlineStr">
        <is>
          <t>3950</t>
        </is>
      </c>
      <c r="O24" s="61" t="inlineStr">
        <is>
          <t>50000000</t>
        </is>
      </c>
      <c r="P24" s="61" t="inlineStr">
        <is>
          <t>NR</t>
        </is>
      </c>
      <c r="Q24" s="61" t="inlineStr">
        <is>
          <t>0</t>
        </is>
      </c>
      <c r="R24" s="61" t="inlineStr">
        <is>
          <t>19646</t>
        </is>
      </c>
      <c r="S24" t="inlineStr"/>
      <c r="T24" s="0" t="n">
        <v>4.2</v>
      </c>
      <c r="V24" s="10">
        <f>DEC2HEX(F24)</f>
        <v/>
      </c>
      <c r="W24" s="0">
        <f>W23</f>
        <v/>
      </c>
    </row>
    <row r="25">
      <c r="B25" s="61" t="inlineStr">
        <is>
          <t>C2</t>
        </is>
      </c>
      <c r="C25" s="61" t="inlineStr">
        <is>
          <t>llte_0_1_0_2_0_0</t>
        </is>
      </c>
      <c r="D25" s="61" t="inlineStr">
        <is>
          <t>KHZ_15</t>
        </is>
      </c>
      <c r="E25" s="61" t="inlineStr">
        <is>
          <t>106</t>
        </is>
      </c>
      <c r="F25" s="13" t="inlineStr">
        <is>
          <t>4</t>
        </is>
      </c>
      <c r="G25" s="61" t="inlineStr">
        <is>
          <t>llte_0_1_0_2_0_0</t>
        </is>
      </c>
      <c r="H25" s="61" t="inlineStr">
        <is>
          <t>ru-pe.0</t>
        </is>
      </c>
      <c r="I25" s="61" t="inlineStr">
        <is>
          <t>tac_0_1_0_2</t>
        </is>
      </c>
      <c r="J25" s="61" t="inlineStr">
        <is>
          <t>llte_0_1_0_2_0_0</t>
        </is>
      </c>
      <c r="K25" s="61" t="inlineStr">
        <is>
          <t>tac_0_1_0_2</t>
        </is>
      </c>
      <c r="L25" s="61" t="inlineStr">
        <is>
          <t>9</t>
        </is>
      </c>
      <c r="M25" s="61" t="inlineStr">
        <is>
          <t>BFP</t>
        </is>
      </c>
      <c r="N25" s="61" t="inlineStr">
        <is>
          <t>1940</t>
        </is>
      </c>
      <c r="O25" s="61" t="inlineStr">
        <is>
          <t>20000000</t>
        </is>
      </c>
      <c r="P25" s="61" t="inlineStr">
        <is>
          <t>NR</t>
        </is>
      </c>
      <c r="Q25" s="61" t="inlineStr">
        <is>
          <t>0</t>
        </is>
      </c>
      <c r="R25" s="61" t="inlineStr">
        <is>
          <t>19646</t>
        </is>
      </c>
      <c r="S25" t="inlineStr"/>
      <c r="V25" s="10">
        <f>DEC2HEX(F25)</f>
        <v/>
      </c>
      <c r="W25" s="0">
        <f>W24</f>
        <v/>
      </c>
    </row>
    <row r="26">
      <c r="B26" s="61" t="inlineStr">
        <is>
          <t>C3</t>
        </is>
      </c>
      <c r="C26" s="61" t="inlineStr">
        <is>
          <t>llte_0_1_1_2_0_0</t>
        </is>
      </c>
      <c r="D26" s="61" t="inlineStr">
        <is>
          <t>KHZ_15</t>
        </is>
      </c>
      <c r="E26" s="61" t="inlineStr">
        <is>
          <t>106</t>
        </is>
      </c>
      <c r="F26" s="13" t="inlineStr">
        <is>
          <t>5</t>
        </is>
      </c>
      <c r="G26" s="61" t="inlineStr">
        <is>
          <t>llte_0_1_1_2_0_0</t>
        </is>
      </c>
      <c r="H26" s="61" t="inlineStr">
        <is>
          <t>ru-pe.0</t>
        </is>
      </c>
      <c r="I26" s="61" t="inlineStr">
        <is>
          <t>tac_0_1_1_2</t>
        </is>
      </c>
      <c r="J26" s="61" t="inlineStr">
        <is>
          <t>llte_0_1_1_2_0_0</t>
        </is>
      </c>
      <c r="K26" s="61" t="inlineStr">
        <is>
          <t>tac_0_1_1_2</t>
        </is>
      </c>
      <c r="L26" s="61" t="inlineStr">
        <is>
          <t>9</t>
        </is>
      </c>
      <c r="M26" s="61" t="inlineStr">
        <is>
          <t>BFP</t>
        </is>
      </c>
      <c r="N26" s="61" t="inlineStr">
        <is>
          <t>1960</t>
        </is>
      </c>
      <c r="O26" s="61" t="inlineStr">
        <is>
          <t>20000000</t>
        </is>
      </c>
      <c r="P26" s="61" t="inlineStr">
        <is>
          <t>NR</t>
        </is>
      </c>
      <c r="Q26" s="61" t="inlineStr">
        <is>
          <t>0</t>
        </is>
      </c>
      <c r="R26" s="61" t="inlineStr">
        <is>
          <t>19646</t>
        </is>
      </c>
      <c r="S26" t="inlineStr"/>
      <c r="V26" s="10">
        <f>DEC2HEX(F26)</f>
        <v/>
      </c>
      <c r="W26" s="0">
        <f>W25</f>
        <v/>
      </c>
    </row>
    <row r="27">
      <c r="B27" s="61" t="inlineStr">
        <is>
          <t>C4</t>
        </is>
      </c>
      <c r="C27" s="61" t="inlineStr">
        <is>
          <t>llte_0_2_0_3_0_0</t>
        </is>
      </c>
      <c r="D27" s="61" t="inlineStr">
        <is>
          <t>KHZ_15</t>
        </is>
      </c>
      <c r="E27" s="61" t="inlineStr">
        <is>
          <t>25</t>
        </is>
      </c>
      <c r="F27" s="13" t="inlineStr">
        <is>
          <t>6</t>
        </is>
      </c>
      <c r="G27" s="61" t="inlineStr">
        <is>
          <t>llte_0_2_0_3_0_0</t>
        </is>
      </c>
      <c r="H27" s="61" t="inlineStr">
        <is>
          <t>ru-pe.0</t>
        </is>
      </c>
      <c r="I27" s="61" t="inlineStr">
        <is>
          <t>tac_0_2_0_3</t>
        </is>
      </c>
      <c r="J27" s="61" t="inlineStr">
        <is>
          <t>llte_0_2_0_3_0_0</t>
        </is>
      </c>
      <c r="K27" s="61" t="inlineStr">
        <is>
          <t>tac_0_2_0_3</t>
        </is>
      </c>
      <c r="L27" s="61" t="inlineStr">
        <is>
          <t>9</t>
        </is>
      </c>
      <c r="M27" s="61" t="inlineStr">
        <is>
          <t>BFP</t>
        </is>
      </c>
      <c r="N27" s="61" t="inlineStr">
        <is>
          <t>864.5</t>
        </is>
      </c>
      <c r="O27" s="61" t="inlineStr">
        <is>
          <t>5000000</t>
        </is>
      </c>
      <c r="P27" s="61" t="inlineStr">
        <is>
          <t>NR</t>
        </is>
      </c>
      <c r="Q27" s="61" t="inlineStr">
        <is>
          <t>0</t>
        </is>
      </c>
      <c r="R27" s="61" t="inlineStr">
        <is>
          <t>19646</t>
        </is>
      </c>
      <c r="S27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B28" s="61" t="inlineStr">
        <is>
          <t>C5</t>
        </is>
      </c>
      <c r="C28" s="61" t="inlineStr">
        <is>
          <t>llte_0_2_1_3_0_0</t>
        </is>
      </c>
      <c r="D28" s="61" t="inlineStr">
        <is>
          <t>KHZ_15</t>
        </is>
      </c>
      <c r="E28" s="61" t="inlineStr">
        <is>
          <t>25</t>
        </is>
      </c>
      <c r="F28" s="13" t="inlineStr">
        <is>
          <t>7</t>
        </is>
      </c>
      <c r="G28" s="61" t="inlineStr">
        <is>
          <t>llte_0_2_1_3_0_0</t>
        </is>
      </c>
      <c r="H28" s="61" t="inlineStr">
        <is>
          <t>ru-pe.0</t>
        </is>
      </c>
      <c r="I28" s="61" t="inlineStr">
        <is>
          <t>tac_0_2_1_3</t>
        </is>
      </c>
      <c r="J28" s="61" t="inlineStr">
        <is>
          <t>llte_0_2_1_3_0_0</t>
        </is>
      </c>
      <c r="K28" s="61" t="inlineStr">
        <is>
          <t>tac_0_2_1_3</t>
        </is>
      </c>
      <c r="L28" s="61" t="inlineStr">
        <is>
          <t>9</t>
        </is>
      </c>
      <c r="M28" s="61" t="inlineStr">
        <is>
          <t>BFP</t>
        </is>
      </c>
      <c r="N28" s="61" t="inlineStr">
        <is>
          <t>869.5</t>
        </is>
      </c>
      <c r="O28" s="61" t="inlineStr">
        <is>
          <t>5000000</t>
        </is>
      </c>
      <c r="P28" s="61" t="inlineStr">
        <is>
          <t>NR</t>
        </is>
      </c>
      <c r="Q28" s="61" t="inlineStr">
        <is>
          <t>0</t>
        </is>
      </c>
      <c r="R28" s="61" t="inlineStr">
        <is>
          <t>19646</t>
        </is>
      </c>
      <c r="S28" t="inlineStr"/>
      <c r="V28" s="10">
        <f>DEC2HEX(F28)</f>
        <v/>
      </c>
      <c r="W28" s="0">
        <f>W27</f>
        <v/>
      </c>
      <c r="AH28" s="12" t="n">
        <v>3900</v>
      </c>
    </row>
    <row r="29">
      <c r="B29" s="61" t="inlineStr">
        <is>
          <t>C6</t>
        </is>
      </c>
      <c r="C29" s="61" t="inlineStr">
        <is>
          <t>llte_0_3_0_4_0_0</t>
        </is>
      </c>
      <c r="D29" s="61" t="inlineStr">
        <is>
          <t>KHZ_15</t>
        </is>
      </c>
      <c r="E29" s="61" t="inlineStr">
        <is>
          <t>25</t>
        </is>
      </c>
      <c r="F29" s="13" t="inlineStr">
        <is>
          <t>8</t>
        </is>
      </c>
      <c r="G29" s="61" t="inlineStr">
        <is>
          <t>llte_0_3_0_4_0_0</t>
        </is>
      </c>
      <c r="H29" s="61" t="inlineStr">
        <is>
          <t>ru-pe.0</t>
        </is>
      </c>
      <c r="I29" s="61" t="inlineStr">
        <is>
          <t>tac_0_3_0_4</t>
        </is>
      </c>
      <c r="J29" s="61" t="inlineStr">
        <is>
          <t>llte_0_3_0_4_0_0</t>
        </is>
      </c>
      <c r="K29" s="61" t="inlineStr">
        <is>
          <t>tac_0_3_0_4</t>
        </is>
      </c>
      <c r="L29" s="61" t="inlineStr">
        <is>
          <t>9</t>
        </is>
      </c>
      <c r="M29" s="61" t="inlineStr">
        <is>
          <t>BFP</t>
        </is>
      </c>
      <c r="N29" s="61" t="inlineStr">
        <is>
          <t>2352.5</t>
        </is>
      </c>
      <c r="O29" s="61" t="inlineStr">
        <is>
          <t>5000000</t>
        </is>
      </c>
      <c r="P29" s="61" t="inlineStr">
        <is>
          <t>NR</t>
        </is>
      </c>
      <c r="Q29" s="61" t="inlineStr">
        <is>
          <t>0</t>
        </is>
      </c>
      <c r="R29" s="61" t="inlineStr">
        <is>
          <t>19646</t>
        </is>
      </c>
      <c r="S29" t="inlineStr"/>
      <c r="V29" s="10">
        <f>DEC2HEX(F29)</f>
        <v/>
      </c>
      <c r="W29" s="0">
        <f>W28</f>
        <v/>
      </c>
    </row>
    <row r="30">
      <c r="B30" s="61" t="inlineStr">
        <is>
          <t>C7</t>
        </is>
      </c>
      <c r="C30" s="61" t="inlineStr">
        <is>
          <t>llte_0_3_1_4_0_0</t>
        </is>
      </c>
      <c r="D30" s="61" t="inlineStr">
        <is>
          <t>KHZ_15</t>
        </is>
      </c>
      <c r="E30" s="61" t="inlineStr">
        <is>
          <t>25</t>
        </is>
      </c>
      <c r="F30" s="13" t="inlineStr">
        <is>
          <t>9</t>
        </is>
      </c>
      <c r="G30" s="61" t="inlineStr">
        <is>
          <t>llte_0_3_1_4_0_0</t>
        </is>
      </c>
      <c r="H30" s="61" t="inlineStr">
        <is>
          <t>ru-pe.0</t>
        </is>
      </c>
      <c r="I30" s="61" t="inlineStr">
        <is>
          <t>tac_0_3_1_4</t>
        </is>
      </c>
      <c r="J30" s="61" t="inlineStr">
        <is>
          <t>llte_0_3_1_4_0_0</t>
        </is>
      </c>
      <c r="K30" s="61" t="inlineStr">
        <is>
          <t>tac_0_3_1_4</t>
        </is>
      </c>
      <c r="L30" s="61" t="inlineStr">
        <is>
          <t>9</t>
        </is>
      </c>
      <c r="M30" s="61" t="inlineStr">
        <is>
          <t>BFP</t>
        </is>
      </c>
      <c r="N30" s="61" t="inlineStr">
        <is>
          <t>2357.5</t>
        </is>
      </c>
      <c r="O30" s="61" t="inlineStr">
        <is>
          <t>5000000</t>
        </is>
      </c>
      <c r="P30" s="61" t="inlineStr">
        <is>
          <t>NR</t>
        </is>
      </c>
      <c r="Q30" s="61" t="inlineStr">
        <is>
          <t>0</t>
        </is>
      </c>
      <c r="R30" s="61" t="inlineStr">
        <is>
          <t>19646</t>
        </is>
      </c>
      <c r="S3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6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62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61" t="inlineStr">
        <is>
          <t>C0</t>
        </is>
      </c>
      <c r="C36" s="61" t="inlineStr">
        <is>
          <t>llre_0_0_0_1_0_0</t>
        </is>
      </c>
      <c r="D36" s="61" t="inlineStr">
        <is>
          <t>KHZ_15</t>
        </is>
      </c>
      <c r="E36" s="61" t="inlineStr">
        <is>
          <t>133</t>
        </is>
      </c>
      <c r="F36" s="61" t="inlineStr">
        <is>
          <t>0</t>
        </is>
      </c>
      <c r="G36" s="13" t="inlineStr">
        <is>
          <t>18</t>
        </is>
      </c>
      <c r="H36" s="61" t="inlineStr">
        <is>
          <t>llre_0_0_0_1_0_0</t>
        </is>
      </c>
      <c r="I36" s="61" t="inlineStr">
        <is>
          <t>ru-pe.0</t>
        </is>
      </c>
      <c r="J36" s="61" t="inlineStr">
        <is>
          <t>rac_0_0_0_1</t>
        </is>
      </c>
      <c r="K36" s="61" t="inlineStr">
        <is>
          <t>llre_0_0_0_1_0_0</t>
        </is>
      </c>
      <c r="L36" s="61" t="inlineStr">
        <is>
          <t>9</t>
        </is>
      </c>
      <c r="M36" s="61" t="inlineStr">
        <is>
          <t>BFP</t>
        </is>
      </c>
      <c r="N36" s="61" t="inlineStr">
        <is>
          <t>rac_0_0_0_1</t>
        </is>
      </c>
      <c r="O36" s="61" t="inlineStr">
        <is>
          <t>3900</t>
        </is>
      </c>
      <c r="P36" s="61" t="inlineStr">
        <is>
          <t>50000000</t>
        </is>
      </c>
      <c r="Q36" s="61" t="inlineStr">
        <is>
          <t>NR</t>
        </is>
      </c>
      <c r="R36" s="13" t="inlineStr">
        <is>
          <t>25600</t>
        </is>
      </c>
      <c r="S36" s="61" t="inlineStr">
        <is>
          <t>19646</t>
        </is>
      </c>
      <c r="T36" s="55" t="inlineStr">
        <is>
          <t>0</t>
        </is>
      </c>
      <c r="U36" t="inlineStr"/>
      <c r="V36" s="0" t="inlineStr"/>
      <c r="W36" t="inlineStr"/>
      <c r="X36" t="inlineStr"/>
      <c r="Y36" t="inlineStr"/>
    </row>
    <row r="37">
      <c r="B37" s="61" t="inlineStr">
        <is>
          <t>C1</t>
        </is>
      </c>
      <c r="C37" s="61" t="inlineStr">
        <is>
          <t>llre_0_0_1_1_0_0</t>
        </is>
      </c>
      <c r="D37" s="61" t="inlineStr">
        <is>
          <t>KHZ_15</t>
        </is>
      </c>
      <c r="E37" s="61" t="inlineStr">
        <is>
          <t>133</t>
        </is>
      </c>
      <c r="F37" s="61" t="inlineStr">
        <is>
          <t>0</t>
        </is>
      </c>
      <c r="G37" s="13" t="inlineStr">
        <is>
          <t>19</t>
        </is>
      </c>
      <c r="H37" s="61" t="inlineStr">
        <is>
          <t>llre_0_0_1_1_0_0</t>
        </is>
      </c>
      <c r="I37" s="61" t="inlineStr">
        <is>
          <t>ru-pe.0</t>
        </is>
      </c>
      <c r="J37" s="61" t="inlineStr">
        <is>
          <t>rac_0_0_1_1</t>
        </is>
      </c>
      <c r="K37" s="61" t="inlineStr">
        <is>
          <t>llre_0_0_1_1_0_0</t>
        </is>
      </c>
      <c r="L37" s="61" t="inlineStr">
        <is>
          <t>9</t>
        </is>
      </c>
      <c r="M37" s="61" t="inlineStr">
        <is>
          <t>BFP</t>
        </is>
      </c>
      <c r="N37" s="61" t="inlineStr">
        <is>
          <t>rac_0_0_1_1</t>
        </is>
      </c>
      <c r="O37" s="61" t="inlineStr">
        <is>
          <t>3950</t>
        </is>
      </c>
      <c r="P37" s="61" t="inlineStr">
        <is>
          <t>50000000</t>
        </is>
      </c>
      <c r="Q37" s="61" t="inlineStr">
        <is>
          <t>NR</t>
        </is>
      </c>
      <c r="R37" s="13" t="inlineStr">
        <is>
          <t>25600</t>
        </is>
      </c>
      <c r="S37" s="61" t="inlineStr">
        <is>
          <t>19646</t>
        </is>
      </c>
      <c r="T37" s="55" t="inlineStr">
        <is>
          <t>0</t>
        </is>
      </c>
      <c r="U37" t="inlineStr"/>
      <c r="V37" s="0" t="inlineStr"/>
      <c r="W37" t="inlineStr"/>
      <c r="X37" t="inlineStr"/>
      <c r="Y37" t="inlineStr"/>
    </row>
    <row r="38">
      <c r="B38" s="61" t="inlineStr">
        <is>
          <t>C2</t>
        </is>
      </c>
      <c r="C38" s="61" t="inlineStr">
        <is>
          <t>llre_0_1_0_2_0_0</t>
        </is>
      </c>
      <c r="D38" s="61" t="inlineStr">
        <is>
          <t>KHZ_15</t>
        </is>
      </c>
      <c r="E38" s="61" t="inlineStr">
        <is>
          <t>106</t>
        </is>
      </c>
      <c r="F38" s="61" t="inlineStr">
        <is>
          <t>0</t>
        </is>
      </c>
      <c r="G38" s="13" t="inlineStr">
        <is>
          <t>20</t>
        </is>
      </c>
      <c r="H38" s="61" t="inlineStr">
        <is>
          <t>llre_0_1_0_2_0_0</t>
        </is>
      </c>
      <c r="I38" s="61" t="inlineStr">
        <is>
          <t>ru-pe.0</t>
        </is>
      </c>
      <c r="J38" s="61" t="inlineStr">
        <is>
          <t>rac_0_1_0_2</t>
        </is>
      </c>
      <c r="K38" s="61" t="inlineStr">
        <is>
          <t>llre_0_1_0_2_0_0</t>
        </is>
      </c>
      <c r="L38" s="61" t="inlineStr">
        <is>
          <t>9</t>
        </is>
      </c>
      <c r="M38" s="61" t="inlineStr">
        <is>
          <t>BFP</t>
        </is>
      </c>
      <c r="N38" s="61" t="inlineStr">
        <is>
          <t>rac_0_1_0_2</t>
        </is>
      </c>
      <c r="O38" s="61" t="inlineStr">
        <is>
          <t>1860</t>
        </is>
      </c>
      <c r="P38" s="61" t="inlineStr">
        <is>
          <t>20000000</t>
        </is>
      </c>
      <c r="Q38" s="61" t="inlineStr">
        <is>
          <t>NR</t>
        </is>
      </c>
      <c r="R38" s="13" t="inlineStr">
        <is>
          <t>25600</t>
        </is>
      </c>
      <c r="S38" s="61" t="inlineStr">
        <is>
          <t>19646</t>
        </is>
      </c>
      <c r="T38" s="55" t="inlineStr">
        <is>
          <t>0</t>
        </is>
      </c>
      <c r="U38" t="inlineStr"/>
      <c r="V38" s="0" t="inlineStr"/>
      <c r="W38" t="inlineStr"/>
      <c r="X38" t="inlineStr"/>
      <c r="Y38" t="inlineStr"/>
    </row>
    <row r="39">
      <c r="B39" s="61" t="inlineStr">
        <is>
          <t>C3</t>
        </is>
      </c>
      <c r="C39" s="61" t="inlineStr">
        <is>
          <t>llre_0_1_1_2_0_0</t>
        </is>
      </c>
      <c r="D39" s="61" t="inlineStr">
        <is>
          <t>KHZ_15</t>
        </is>
      </c>
      <c r="E39" s="61" t="inlineStr">
        <is>
          <t>106</t>
        </is>
      </c>
      <c r="F39" s="61" t="inlineStr">
        <is>
          <t>0</t>
        </is>
      </c>
      <c r="G39" s="13" t="inlineStr">
        <is>
          <t>21</t>
        </is>
      </c>
      <c r="H39" s="61" t="inlineStr">
        <is>
          <t>llre_0_1_1_2_0_0</t>
        </is>
      </c>
      <c r="I39" s="61" t="inlineStr">
        <is>
          <t>ru-pe.0</t>
        </is>
      </c>
      <c r="J39" s="61" t="inlineStr">
        <is>
          <t>rac_0_1_1_2</t>
        </is>
      </c>
      <c r="K39" s="61" t="inlineStr">
        <is>
          <t>llre_0_1_1_2_0_0</t>
        </is>
      </c>
      <c r="L39" s="61" t="inlineStr">
        <is>
          <t>9</t>
        </is>
      </c>
      <c r="M39" s="61" t="inlineStr">
        <is>
          <t>BFP</t>
        </is>
      </c>
      <c r="N39" s="61" t="inlineStr">
        <is>
          <t>rac_0_1_1_2</t>
        </is>
      </c>
      <c r="O39" s="61" t="inlineStr">
        <is>
          <t>1880</t>
        </is>
      </c>
      <c r="P39" s="61" t="inlineStr">
        <is>
          <t>20000000</t>
        </is>
      </c>
      <c r="Q39" s="61" t="inlineStr">
        <is>
          <t>NR</t>
        </is>
      </c>
      <c r="R39" s="13" t="inlineStr">
        <is>
          <t>25600</t>
        </is>
      </c>
      <c r="S39" s="61" t="inlineStr">
        <is>
          <t>19646</t>
        </is>
      </c>
      <c r="T39" s="55" t="inlineStr">
        <is>
          <t>0</t>
        </is>
      </c>
      <c r="U39" t="inlineStr"/>
      <c r="V39" s="0" t="inlineStr"/>
      <c r="W39" t="inlineStr"/>
      <c r="X39" t="inlineStr"/>
      <c r="Y39" t="inlineStr"/>
    </row>
    <row r="40">
      <c r="B40" s="61" t="inlineStr">
        <is>
          <t>C4</t>
        </is>
      </c>
      <c r="C40" s="61" t="inlineStr">
        <is>
          <t>llre_0_2_0_3_0_0</t>
        </is>
      </c>
      <c r="D40" s="61" t="inlineStr">
        <is>
          <t>KHZ_15</t>
        </is>
      </c>
      <c r="E40" s="61" t="inlineStr">
        <is>
          <t>25</t>
        </is>
      </c>
      <c r="F40" s="61" t="inlineStr">
        <is>
          <t>0</t>
        </is>
      </c>
      <c r="G40" s="13" t="inlineStr">
        <is>
          <t>22</t>
        </is>
      </c>
      <c r="H40" s="61" t="inlineStr">
        <is>
          <t>llre_0_2_0_3_0_0</t>
        </is>
      </c>
      <c r="I40" s="61" t="inlineStr">
        <is>
          <t>ru-pe.0</t>
        </is>
      </c>
      <c r="J40" s="61" t="inlineStr">
        <is>
          <t>rac_0_2_0_3</t>
        </is>
      </c>
      <c r="K40" s="61" t="inlineStr">
        <is>
          <t>llre_0_2_0_3_0_0</t>
        </is>
      </c>
      <c r="L40" s="61" t="inlineStr">
        <is>
          <t>9</t>
        </is>
      </c>
      <c r="M40" s="61" t="inlineStr">
        <is>
          <t>BFP</t>
        </is>
      </c>
      <c r="N40" s="61" t="inlineStr">
        <is>
          <t>rac_0_2_0_3</t>
        </is>
      </c>
      <c r="O40" s="61" t="inlineStr">
        <is>
          <t>832</t>
        </is>
      </c>
      <c r="P40" s="61" t="inlineStr">
        <is>
          <t>5000000</t>
        </is>
      </c>
      <c r="Q40" s="61" t="inlineStr">
        <is>
          <t>NR</t>
        </is>
      </c>
      <c r="R40" s="13" t="inlineStr">
        <is>
          <t>25600</t>
        </is>
      </c>
      <c r="S40" s="61" t="inlineStr">
        <is>
          <t>19646</t>
        </is>
      </c>
      <c r="T40" s="55" t="inlineStr">
        <is>
          <t>0</t>
        </is>
      </c>
      <c r="U40" t="inlineStr"/>
      <c r="V40" s="0" t="inlineStr"/>
      <c r="W40" t="inlineStr"/>
      <c r="X40" t="inlineStr"/>
      <c r="Y40" t="inlineStr"/>
    </row>
    <row r="41">
      <c r="B41" s="61" t="inlineStr">
        <is>
          <t>C5</t>
        </is>
      </c>
      <c r="C41" s="61" t="inlineStr">
        <is>
          <t>llre_0_2_1_3_0_0</t>
        </is>
      </c>
      <c r="D41" s="61" t="inlineStr">
        <is>
          <t>KHZ_15</t>
        </is>
      </c>
      <c r="E41" s="61" t="inlineStr">
        <is>
          <t>25</t>
        </is>
      </c>
      <c r="F41" s="61" t="inlineStr">
        <is>
          <t>0</t>
        </is>
      </c>
      <c r="G41" s="13" t="inlineStr">
        <is>
          <t>23</t>
        </is>
      </c>
      <c r="H41" s="61" t="inlineStr">
        <is>
          <t>llre_0_2_1_3_0_0</t>
        </is>
      </c>
      <c r="I41" s="61" t="inlineStr">
        <is>
          <t>ru-pe.0</t>
        </is>
      </c>
      <c r="J41" s="61" t="inlineStr">
        <is>
          <t>rac_0_2_1_3</t>
        </is>
      </c>
      <c r="K41" s="61" t="inlineStr">
        <is>
          <t>llre_0_2_1_3_0_0</t>
        </is>
      </c>
      <c r="L41" s="61" t="inlineStr">
        <is>
          <t>9</t>
        </is>
      </c>
      <c r="M41" s="61" t="inlineStr">
        <is>
          <t>BFP</t>
        </is>
      </c>
      <c r="N41" s="61" t="inlineStr">
        <is>
          <t>rac_0_2_1_3</t>
        </is>
      </c>
      <c r="O41" s="61" t="inlineStr">
        <is>
          <t>837</t>
        </is>
      </c>
      <c r="P41" s="61" t="inlineStr">
        <is>
          <t>5000000</t>
        </is>
      </c>
      <c r="Q41" s="61" t="inlineStr">
        <is>
          <t>NR</t>
        </is>
      </c>
      <c r="R41" s="13" t="inlineStr">
        <is>
          <t>25600</t>
        </is>
      </c>
      <c r="S41" s="61" t="inlineStr">
        <is>
          <t>19646</t>
        </is>
      </c>
      <c r="T41" s="55" t="inlineStr">
        <is>
          <t>0</t>
        </is>
      </c>
      <c r="U41" t="inlineStr"/>
      <c r="V41" s="0" t="inlineStr"/>
      <c r="W41" t="inlineStr"/>
      <c r="X41" t="inlineStr"/>
      <c r="Y41" t="inlineStr"/>
    </row>
    <row r="42">
      <c r="B42" s="61" t="inlineStr">
        <is>
          <t>C6</t>
        </is>
      </c>
      <c r="C42" s="61" t="inlineStr">
        <is>
          <t>llre_0_3_0_4_0_0</t>
        </is>
      </c>
      <c r="D42" s="61" t="inlineStr">
        <is>
          <t>KHZ_15</t>
        </is>
      </c>
      <c r="E42" s="61" t="inlineStr">
        <is>
          <t>25</t>
        </is>
      </c>
      <c r="F42" s="61" t="inlineStr">
        <is>
          <t>0</t>
        </is>
      </c>
      <c r="G42" s="13" t="inlineStr">
        <is>
          <t>24</t>
        </is>
      </c>
      <c r="H42" s="61" t="inlineStr">
        <is>
          <t>llre_0_3_0_4_0_0</t>
        </is>
      </c>
      <c r="I42" s="61" t="inlineStr">
        <is>
          <t>ru-pe.0</t>
        </is>
      </c>
      <c r="J42" s="61" t="inlineStr">
        <is>
          <t>rac_0_3_0_4</t>
        </is>
      </c>
      <c r="K42" s="61" t="inlineStr">
        <is>
          <t>llre_0_3_0_4_0_0</t>
        </is>
      </c>
      <c r="L42" s="61" t="inlineStr">
        <is>
          <t>9</t>
        </is>
      </c>
      <c r="M42" s="61" t="inlineStr">
        <is>
          <t>BFP</t>
        </is>
      </c>
      <c r="N42" s="61" t="inlineStr">
        <is>
          <t>rac_0_3_0_4</t>
        </is>
      </c>
      <c r="O42" s="61" t="inlineStr">
        <is>
          <t>2307.5</t>
        </is>
      </c>
      <c r="P42" s="61" t="inlineStr">
        <is>
          <t>5000000</t>
        </is>
      </c>
      <c r="Q42" s="61" t="inlineStr">
        <is>
          <t>NR</t>
        </is>
      </c>
      <c r="R42" s="13" t="inlineStr">
        <is>
          <t>25600</t>
        </is>
      </c>
      <c r="S42" s="61" t="inlineStr">
        <is>
          <t>19646</t>
        </is>
      </c>
      <c r="T42" s="55" t="inlineStr">
        <is>
          <t>0</t>
        </is>
      </c>
      <c r="U42" t="inlineStr"/>
      <c r="V42" s="0" t="inlineStr"/>
      <c r="W42" t="inlineStr"/>
      <c r="X42" t="inlineStr"/>
      <c r="Y42" t="inlineStr"/>
    </row>
    <row r="43">
      <c r="B43" s="61" t="inlineStr">
        <is>
          <t>C7</t>
        </is>
      </c>
      <c r="C43" s="61" t="inlineStr">
        <is>
          <t>llre_0_3_1_4_0_0</t>
        </is>
      </c>
      <c r="D43" s="61" t="inlineStr">
        <is>
          <t>KHZ_15</t>
        </is>
      </c>
      <c r="E43" s="61" t="inlineStr">
        <is>
          <t>25</t>
        </is>
      </c>
      <c r="F43" s="61" t="inlineStr">
        <is>
          <t>0</t>
        </is>
      </c>
      <c r="G43" s="13" t="inlineStr">
        <is>
          <t>25</t>
        </is>
      </c>
      <c r="H43" s="61" t="inlineStr">
        <is>
          <t>llre_0_3_1_4_0_0</t>
        </is>
      </c>
      <c r="I43" s="61" t="inlineStr">
        <is>
          <t>ru-pe.0</t>
        </is>
      </c>
      <c r="J43" s="61" t="inlineStr">
        <is>
          <t>rac_0_3_1_4</t>
        </is>
      </c>
      <c r="K43" s="61" t="inlineStr">
        <is>
          <t>llre_0_3_1_4_0_0</t>
        </is>
      </c>
      <c r="L43" s="61" t="inlineStr">
        <is>
          <t>9</t>
        </is>
      </c>
      <c r="M43" s="61" t="inlineStr">
        <is>
          <t>BFP</t>
        </is>
      </c>
      <c r="N43" s="61" t="inlineStr">
        <is>
          <t>rac_0_3_1_4</t>
        </is>
      </c>
      <c r="O43" s="61" t="inlineStr">
        <is>
          <t>2312.5</t>
        </is>
      </c>
      <c r="P43" s="61" t="inlineStr">
        <is>
          <t>5000000</t>
        </is>
      </c>
      <c r="Q43" s="61" t="inlineStr">
        <is>
          <t>NR</t>
        </is>
      </c>
      <c r="R43" s="13" t="inlineStr">
        <is>
          <t>25600</t>
        </is>
      </c>
      <c r="S43" s="61" t="inlineStr">
        <is>
          <t>19646</t>
        </is>
      </c>
      <c r="T43" s="55" t="inlineStr">
        <is>
          <t>0</t>
        </is>
      </c>
      <c r="U43" t="inlineStr"/>
      <c r="V43" s="0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6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62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61" t="inlineStr">
        <is>
          <t>C0</t>
        </is>
      </c>
      <c r="C49" s="61" t="inlineStr">
        <is>
          <t>llre_0_0_0_1_1_0</t>
        </is>
      </c>
      <c r="D49" s="61" t="inlineStr">
        <is>
          <t>KHZ_15</t>
        </is>
      </c>
      <c r="E49" s="61" t="inlineStr">
        <is>
          <t>133</t>
        </is>
      </c>
      <c r="F49" s="61" t="inlineStr">
        <is>
          <t>0</t>
        </is>
      </c>
      <c r="G49" s="13" t="inlineStr">
        <is>
          <t>34</t>
        </is>
      </c>
      <c r="H49" s="61" t="inlineStr">
        <is>
          <t>llre_0_0_0_1_1_0</t>
        </is>
      </c>
      <c r="I49" s="61" t="inlineStr">
        <is>
          <t>ru-pe.0</t>
        </is>
      </c>
      <c r="J49" s="61" t="inlineStr">
        <is>
          <t>rac_0_0_0_1</t>
        </is>
      </c>
      <c r="K49" s="61" t="inlineStr">
        <is>
          <t>llre_0_0_0_1_1_0</t>
        </is>
      </c>
      <c r="L49" s="61" t="inlineStr">
        <is>
          <t>9</t>
        </is>
      </c>
      <c r="M49" s="61" t="inlineStr">
        <is>
          <t>BFP</t>
        </is>
      </c>
      <c r="O49" s="10">
        <f>DEC2HEX(G49)</f>
        <v/>
      </c>
    </row>
    <row r="50">
      <c r="B50" s="61" t="inlineStr">
        <is>
          <t>C1</t>
        </is>
      </c>
      <c r="C50" s="61" t="inlineStr">
        <is>
          <t>llre_0_0_1_1_1_0</t>
        </is>
      </c>
      <c r="D50" s="61" t="inlineStr">
        <is>
          <t>KHZ_15</t>
        </is>
      </c>
      <c r="E50" s="61" t="inlineStr">
        <is>
          <t>133</t>
        </is>
      </c>
      <c r="F50" s="61" t="inlineStr">
        <is>
          <t>0</t>
        </is>
      </c>
      <c r="G50" s="13" t="inlineStr">
        <is>
          <t>35</t>
        </is>
      </c>
      <c r="H50" s="61" t="inlineStr">
        <is>
          <t>llre_0_0_1_1_1_0</t>
        </is>
      </c>
      <c r="I50" s="61" t="inlineStr">
        <is>
          <t>ru-pe.0</t>
        </is>
      </c>
      <c r="J50" s="61" t="inlineStr">
        <is>
          <t>rac_0_0_1_1</t>
        </is>
      </c>
      <c r="K50" s="61" t="inlineStr">
        <is>
          <t>llre_0_0_1_1_1_0</t>
        </is>
      </c>
      <c r="L50" s="61" t="inlineStr">
        <is>
          <t>9</t>
        </is>
      </c>
      <c r="M50" s="61" t="inlineStr">
        <is>
          <t>BFP</t>
        </is>
      </c>
      <c r="O50" s="10">
        <f>DEC2HEX(G50)</f>
        <v/>
      </c>
    </row>
    <row r="51">
      <c r="B51" s="61" t="inlineStr">
        <is>
          <t>C2</t>
        </is>
      </c>
      <c r="C51" s="61" t="inlineStr">
        <is>
          <t>llre_0_1_0_2_1_0</t>
        </is>
      </c>
      <c r="D51" s="61" t="inlineStr">
        <is>
          <t>KHZ_15</t>
        </is>
      </c>
      <c r="E51" s="61" t="inlineStr">
        <is>
          <t>106</t>
        </is>
      </c>
      <c r="F51" s="61" t="inlineStr">
        <is>
          <t>0</t>
        </is>
      </c>
      <c r="G51" s="13" t="inlineStr">
        <is>
          <t>36</t>
        </is>
      </c>
      <c r="H51" s="61" t="inlineStr">
        <is>
          <t>llre_0_1_0_2_1_0</t>
        </is>
      </c>
      <c r="I51" s="61" t="inlineStr">
        <is>
          <t>ru-pe.0</t>
        </is>
      </c>
      <c r="J51" s="61" t="inlineStr">
        <is>
          <t>rac_0_1_0_2</t>
        </is>
      </c>
      <c r="K51" s="61" t="inlineStr">
        <is>
          <t>llre_0_1_0_2_1_0</t>
        </is>
      </c>
      <c r="L51" s="61" t="inlineStr">
        <is>
          <t>9</t>
        </is>
      </c>
      <c r="M51" s="61" t="inlineStr">
        <is>
          <t>BFP</t>
        </is>
      </c>
      <c r="O51" s="10">
        <f>DEC2HEX(G51)</f>
        <v/>
      </c>
    </row>
    <row r="52">
      <c r="B52" s="61" t="inlineStr">
        <is>
          <t>C3</t>
        </is>
      </c>
      <c r="C52" s="61" t="inlineStr">
        <is>
          <t>llre_0_1_1_2_1_0</t>
        </is>
      </c>
      <c r="D52" s="61" t="inlineStr">
        <is>
          <t>KHZ_15</t>
        </is>
      </c>
      <c r="E52" s="61" t="inlineStr">
        <is>
          <t>106</t>
        </is>
      </c>
      <c r="F52" s="61" t="inlineStr">
        <is>
          <t>0</t>
        </is>
      </c>
      <c r="G52" s="13" t="inlineStr">
        <is>
          <t>37</t>
        </is>
      </c>
      <c r="H52" s="61" t="inlineStr">
        <is>
          <t>llre_0_1_1_2_1_0</t>
        </is>
      </c>
      <c r="I52" s="61" t="inlineStr">
        <is>
          <t>ru-pe.0</t>
        </is>
      </c>
      <c r="J52" s="61" t="inlineStr">
        <is>
          <t>rac_0_1_1_2</t>
        </is>
      </c>
      <c r="K52" s="61" t="inlineStr">
        <is>
          <t>llre_0_1_1_2_1_0</t>
        </is>
      </c>
      <c r="L52" s="61" t="inlineStr">
        <is>
          <t>9</t>
        </is>
      </c>
      <c r="M52" s="61" t="inlineStr">
        <is>
          <t>BFP</t>
        </is>
      </c>
      <c r="O52" s="10">
        <f>DEC2HEX(G52)</f>
        <v/>
      </c>
    </row>
    <row r="53">
      <c r="B53" s="61" t="inlineStr">
        <is>
          <t>C4</t>
        </is>
      </c>
      <c r="C53" s="61" t="inlineStr">
        <is>
          <t>llre_0_2_0_3_1_0</t>
        </is>
      </c>
      <c r="D53" s="61" t="inlineStr">
        <is>
          <t>KHZ_15</t>
        </is>
      </c>
      <c r="E53" s="61" t="inlineStr">
        <is>
          <t>25</t>
        </is>
      </c>
      <c r="F53" s="61" t="inlineStr">
        <is>
          <t>0</t>
        </is>
      </c>
      <c r="G53" s="13" t="inlineStr">
        <is>
          <t>38</t>
        </is>
      </c>
      <c r="H53" s="61" t="inlineStr">
        <is>
          <t>llre_0_2_0_3_1_0</t>
        </is>
      </c>
      <c r="I53" s="61" t="inlineStr">
        <is>
          <t>ru-pe.0</t>
        </is>
      </c>
      <c r="J53" s="61" t="inlineStr">
        <is>
          <t>rac_0_2_0_3</t>
        </is>
      </c>
      <c r="K53" s="61" t="inlineStr">
        <is>
          <t>llre_0_2_0_3_1_0</t>
        </is>
      </c>
      <c r="L53" s="61" t="inlineStr">
        <is>
          <t>9</t>
        </is>
      </c>
      <c r="M53" s="61" t="inlineStr">
        <is>
          <t>BFP</t>
        </is>
      </c>
      <c r="O53" s="10">
        <f>DEC2HEX(G53)</f>
        <v/>
      </c>
    </row>
    <row r="54">
      <c r="B54" s="61" t="inlineStr">
        <is>
          <t>C5</t>
        </is>
      </c>
      <c r="C54" s="61" t="inlineStr">
        <is>
          <t>llre_0_2_1_3_1_0</t>
        </is>
      </c>
      <c r="D54" s="61" t="inlineStr">
        <is>
          <t>KHZ_15</t>
        </is>
      </c>
      <c r="E54" s="61" t="inlineStr">
        <is>
          <t>25</t>
        </is>
      </c>
      <c r="F54" s="61" t="inlineStr">
        <is>
          <t>0</t>
        </is>
      </c>
      <c r="G54" s="13" t="inlineStr">
        <is>
          <t>39</t>
        </is>
      </c>
      <c r="H54" s="61" t="inlineStr">
        <is>
          <t>llre_0_2_1_3_1_0</t>
        </is>
      </c>
      <c r="I54" s="61" t="inlineStr">
        <is>
          <t>ru-pe.0</t>
        </is>
      </c>
      <c r="J54" s="61" t="inlineStr">
        <is>
          <t>rac_0_2_1_3</t>
        </is>
      </c>
      <c r="K54" s="61" t="inlineStr">
        <is>
          <t>llre_0_2_1_3_1_0</t>
        </is>
      </c>
      <c r="L54" s="61" t="inlineStr">
        <is>
          <t>9</t>
        </is>
      </c>
      <c r="M54" s="61" t="inlineStr">
        <is>
          <t>BFP</t>
        </is>
      </c>
      <c r="O54" s="10">
        <f>DEC2HEX(G54)</f>
        <v/>
      </c>
    </row>
    <row r="55">
      <c r="B55" s="61" t="inlineStr">
        <is>
          <t>C6</t>
        </is>
      </c>
      <c r="C55" s="61" t="inlineStr">
        <is>
          <t>llre_0_3_0_4_1_0</t>
        </is>
      </c>
      <c r="D55" s="61" t="inlineStr">
        <is>
          <t>KHZ_15</t>
        </is>
      </c>
      <c r="E55" s="61" t="inlineStr">
        <is>
          <t>25</t>
        </is>
      </c>
      <c r="F55" s="61" t="inlineStr">
        <is>
          <t>0</t>
        </is>
      </c>
      <c r="G55" s="13" t="inlineStr">
        <is>
          <t>40</t>
        </is>
      </c>
      <c r="H55" s="61" t="inlineStr">
        <is>
          <t>llre_0_3_0_4_1_0</t>
        </is>
      </c>
      <c r="I55" s="61" t="inlineStr">
        <is>
          <t>ru-pe.0</t>
        </is>
      </c>
      <c r="J55" s="61" t="inlineStr">
        <is>
          <t>rac_0_3_0_4</t>
        </is>
      </c>
      <c r="K55" s="61" t="inlineStr">
        <is>
          <t>llre_0_3_0_4_1_0</t>
        </is>
      </c>
      <c r="L55" s="61" t="inlineStr">
        <is>
          <t>9</t>
        </is>
      </c>
      <c r="M55" s="61" t="inlineStr">
        <is>
          <t>BFP</t>
        </is>
      </c>
      <c r="O55" s="10">
        <f>DEC2HEX(G55)</f>
        <v/>
      </c>
    </row>
    <row r="56">
      <c r="B56" s="61" t="inlineStr">
        <is>
          <t>C7</t>
        </is>
      </c>
      <c r="C56" s="61" t="inlineStr">
        <is>
          <t>llre_0_3_1_4_1_0</t>
        </is>
      </c>
      <c r="D56" s="61" t="inlineStr">
        <is>
          <t>KHZ_15</t>
        </is>
      </c>
      <c r="E56" s="61" t="inlineStr">
        <is>
          <t>25</t>
        </is>
      </c>
      <c r="F56" s="61" t="inlineStr">
        <is>
          <t>0</t>
        </is>
      </c>
      <c r="G56" s="13" t="inlineStr">
        <is>
          <t>41</t>
        </is>
      </c>
      <c r="H56" s="61" t="inlineStr">
        <is>
          <t>llre_0_3_1_4_1_0</t>
        </is>
      </c>
      <c r="I56" s="61" t="inlineStr">
        <is>
          <t>ru-pe.0</t>
        </is>
      </c>
      <c r="J56" s="61" t="inlineStr">
        <is>
          <t>rac_0_3_1_4</t>
        </is>
      </c>
      <c r="K56" s="61" t="inlineStr">
        <is>
          <t>llre_0_3_1_4_1_0</t>
        </is>
      </c>
      <c r="L56" s="61" t="inlineStr">
        <is>
          <t>9</t>
        </is>
      </c>
      <c r="M56" s="6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60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60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60" min="1" max="1"/>
    <col width="79" bestFit="1" customWidth="1" style="60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_xlfn.IFS('Control-Sheet'!#REF!="OFF",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58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_xlfn.IFS('Control-Sheet'!#REF!="OFF", 'Control-Sheet'!$K$6, TRUE, "")</f>
        <v/>
      </c>
    </row>
    <row r="99">
      <c r="A99" s="0">
        <f>_xlfn.IFS('Control-Sheet'!#REF!="OFF",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_xlfn.IFS('Control-Sheet'!#REF!="OFF", 'Control-Sheet'!$K$6, TRUE, "")</f>
        <v/>
      </c>
    </row>
    <row r="187">
      <c r="A187" s="0">
        <f>_xlfn.IFS('Control-Sheet'!#REF!="OFF",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_xlfn.IFS('Control-Sheet'!#REF!="OFF", 'Control-Sheet'!$K$6, TRUE, "")</f>
        <v/>
      </c>
    </row>
    <row r="275">
      <c r="A275" s="0">
        <f>_xlfn.IFS('Control-Sheet'!#REF!="OFF",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_xlfn.IFS('Control-Sheet'!#REF!="OFF",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56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56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_xlfn.IFS('Control-Sheet'!#REF!="OFF", 'Control-Sheet'!$K$6, TRUE, "")</f>
        <v/>
      </c>
    </row>
    <row r="109">
      <c r="A109" s="0">
        <f>_xlfn.IFS('Control-Sheet'!#REF!="OFF",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56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56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_xlfn.IFS('Control-Sheet'!#REF!="OFF", 'Control-Sheet'!$K$6, TRUE, "")</f>
        <v/>
      </c>
    </row>
    <row r="207">
      <c r="A207" s="0">
        <f>_xlfn.IFS('Control-Sheet'!#REF!="OFF",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56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56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_xlfn.IFS('Control-Sheet'!#REF!="OFF", 'Control-Sheet'!$K$6, TRUE, "")</f>
        <v/>
      </c>
    </row>
    <row r="305">
      <c r="A305" s="0">
        <f>_xlfn.IFS('Control-Sheet'!#REF!="OFF",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56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56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_xlfn.IFS('Control-Sheet'!#REF!="OFF",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_xlfn.IFS('Control-Sheet'!#REF!="OFF", 'Control-Sheet'!$K$6, TRUE, "")</f>
        <v/>
      </c>
    </row>
    <row r="83">
      <c r="A83" s="0">
        <f>_xlfn.IFS('Control-Sheet'!#REF!="OFF",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_xlfn.IFS('Control-Sheet'!#REF!="OFF", 'Control-Sheet'!$K$6, TRUE, "")</f>
        <v/>
      </c>
    </row>
    <row r="155">
      <c r="A155" s="0">
        <f>_xlfn.IFS('Control-Sheet'!#REF!="OFF",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_xlfn.IFS('Control-Sheet'!#REF!="OFF", 'Control-Sheet'!$K$6, TRUE, "")</f>
        <v/>
      </c>
    </row>
    <row r="227">
      <c r="A227" s="0">
        <f>_xlfn.IFS('Control-Sheet'!#REF!="OFF",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_xlfn.IFS('Control-Sheet'!#REF!="OFF",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60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_xlfn.IFS('Control-Sheet'!#REF!="OFF",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_xlfn.IFS('Control-Sheet'!#REF!="OFF", 'Control-Sheet'!$K$6, TRUE, "")</f>
        <v/>
      </c>
    </row>
    <row r="19">
      <c r="A19" s="0">
        <f>_xlfn.IFS('Control-Sheet'!#REF!="OFF",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_xlfn.IFS('Control-Sheet'!#REF!="OFF", 'Control-Sheet'!$K$6, TRUE, "")</f>
        <v/>
      </c>
    </row>
    <row r="29">
      <c r="A29" s="0">
        <f>_xlfn.IFS('Control-Sheet'!#REF!="OFF",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_xlfn.IFS('Control-Sheet'!#REF!="OFF", 'Control-Sheet'!$K$6, TRUE, "")</f>
        <v/>
      </c>
    </row>
    <row r="39">
      <c r="A39" s="0">
        <f>_xlfn.IFS('Control-Sheet'!#REF!="OFF",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_xlfn.IFS('Control-Sheet'!#REF!="OFF", 'Control-Sheet'!$K$6, TRUE, "")</f>
        <v/>
      </c>
    </row>
    <row r="49">
      <c r="A49" s="0">
        <f>_xlfn.IFS('Control-Sheet'!#REF!="OFF",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_xlfn.IFS('Control-Sheet'!#REF!="OFF", 'Control-Sheet'!$K$6, TRUE, "")</f>
        <v/>
      </c>
    </row>
    <row r="59">
      <c r="A59" s="0">
        <f>_xlfn.IFS('Control-Sheet'!#REF!="OFF",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_xlfn.IFS('Control-Sheet'!#REF!="OFF", 'Control-Sheet'!$K$6, TRUE, "")</f>
        <v/>
      </c>
    </row>
    <row r="69">
      <c r="A69" s="0">
        <f>_xlfn.IFS('Control-Sheet'!#REF!="OFF",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_xlfn.IFS('Control-Sheet'!#REF!="OFF", 'Control-Sheet'!$K$6, TRUE, "")</f>
        <v/>
      </c>
    </row>
    <row r="79">
      <c r="A79" s="0">
        <f>_xlfn.IFS('Control-Sheet'!#REF!="OFF",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_xlfn.IFS('Control-Sheet'!#REF!="OFF",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60" min="5" max="5"/>
    <col width="15.7109375" customWidth="1" style="60" min="6" max="11"/>
  </cols>
  <sheetData>
    <row r="6">
      <c r="E6" s="61" t="n"/>
      <c r="F6" s="61" t="inlineStr">
        <is>
          <t>Interface</t>
        </is>
      </c>
      <c r="G6" s="61" t="inlineStr">
        <is>
          <t>Band/Sector</t>
        </is>
      </c>
      <c r="H6" s="61" t="inlineStr">
        <is>
          <t>CC</t>
        </is>
      </c>
      <c r="I6" s="61" t="inlineStr">
        <is>
          <t>Spatial stream</t>
        </is>
      </c>
      <c r="J6" s="61" t="inlineStr">
        <is>
          <t>PUxCH&amp;PRACH</t>
        </is>
      </c>
      <c r="K6" s="63" t="n"/>
    </row>
    <row r="7">
      <c r="E7" s="61" t="inlineStr">
        <is>
          <t>low-level-tx-endpoint</t>
        </is>
      </c>
      <c r="F7" s="61" t="n">
        <v>0</v>
      </c>
      <c r="G7" s="61" t="n">
        <v>0</v>
      </c>
      <c r="H7" s="61" t="n">
        <v>0</v>
      </c>
      <c r="I7" s="61" t="n">
        <v>1</v>
      </c>
      <c r="J7" s="61" t="n">
        <v>0</v>
      </c>
      <c r="K7" s="61" t="n">
        <v>0</v>
      </c>
    </row>
    <row r="8">
      <c r="E8" s="62" t="n"/>
      <c r="F8" s="61" t="n">
        <v>0</v>
      </c>
      <c r="G8" s="61" t="n">
        <v>0</v>
      </c>
      <c r="H8" s="61" t="n">
        <v>1</v>
      </c>
      <c r="I8" s="61" t="n">
        <v>1</v>
      </c>
      <c r="J8" s="61" t="n">
        <v>0</v>
      </c>
      <c r="K8" s="61" t="n">
        <v>0</v>
      </c>
    </row>
    <row r="9">
      <c r="E9" s="61" t="inlineStr">
        <is>
          <t>low-level-rx-endpoint</t>
        </is>
      </c>
      <c r="F9" s="61" t="n"/>
      <c r="G9" s="61" t="n"/>
      <c r="H9" s="61" t="n"/>
      <c r="I9" s="61" t="n"/>
      <c r="J9" s="61" t="n"/>
      <c r="K9" s="61" t="n"/>
    </row>
    <row r="10">
      <c r="E10" s="62" t="n"/>
      <c r="F10" s="61" t="n"/>
      <c r="G10" s="61" t="n"/>
      <c r="H10" s="61" t="n"/>
      <c r="I10" s="61" t="n"/>
      <c r="J10" s="61" t="n"/>
      <c r="K10" s="61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22"/>
    <col width="8.85546875" customWidth="1" style="25" min="23" max="16384"/>
  </cols>
  <sheetData>
    <row r="35" customFormat="1" s="24"/>
    <row r="37" ht="14.25" customHeight="1" s="60" thickBot="1"/>
    <row r="38" customFormat="1" s="24">
      <c r="B38" s="67" t="n"/>
      <c r="C38" s="67" t="n"/>
      <c r="D38" s="67" t="n"/>
      <c r="E38" s="67" t="inlineStr">
        <is>
          <t>RSRP offset</t>
        </is>
      </c>
      <c r="F38" s="67" t="inlineStr">
        <is>
          <t>measured RSRP</t>
        </is>
      </c>
      <c r="G38" s="67" t="n"/>
      <c r="H38" s="67" t="inlineStr">
        <is>
          <t>RSRQ</t>
        </is>
      </c>
      <c r="I38" s="67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71" t="inlineStr">
        <is>
          <t>Eg to Eg</t>
        </is>
      </c>
      <c r="U38" s="31" t="n"/>
      <c r="V38" s="67" t="inlineStr">
        <is>
          <t>D filter</t>
        </is>
      </c>
      <c r="W38" s="63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72" t="n">
        <v>5000</v>
      </c>
      <c r="N39" s="72" t="n">
        <v>12</v>
      </c>
      <c r="O39" s="72" t="n">
        <v>15</v>
      </c>
      <c r="P39" s="72" t="n">
        <v>25</v>
      </c>
      <c r="Q39" s="72">
        <f>P39*O39*N39</f>
        <v/>
      </c>
      <c r="R39" s="34">
        <f>Q39/M39</f>
        <v/>
      </c>
      <c r="S39" s="73">
        <f>(M39-P39*O39*N39)/2-O39/2</f>
        <v/>
      </c>
      <c r="T39" s="74">
        <f>S39*2</f>
        <v/>
      </c>
      <c r="U39" s="37" t="inlineStr">
        <is>
          <t>-&gt;</t>
        </is>
      </c>
      <c r="V39" s="72" t="n">
        <v>450</v>
      </c>
      <c r="W39" s="7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66" t="n"/>
      <c r="M40" s="72">
        <f>M39</f>
        <v/>
      </c>
      <c r="N40" s="72" t="n">
        <v>12</v>
      </c>
      <c r="O40" s="72" t="n">
        <v>30</v>
      </c>
      <c r="P40" s="72" t="n">
        <v>11</v>
      </c>
      <c r="Q40" s="72">
        <f>P40*O40*N40</f>
        <v/>
      </c>
      <c r="R40" s="34">
        <f>Q40/M40</f>
        <v/>
      </c>
      <c r="S40" s="73">
        <f>(M40-P40*O40*N40)/2-O40/2</f>
        <v/>
      </c>
      <c r="T40" s="76">
        <f>S40*2</f>
        <v/>
      </c>
      <c r="U40" s="37" t="inlineStr">
        <is>
          <t>-&gt;</t>
        </is>
      </c>
      <c r="V40" s="72" t="n">
        <v>1000</v>
      </c>
      <c r="W40" s="77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72">
        <f>M39</f>
        <v/>
      </c>
      <c r="N41" s="72" t="n">
        <v>12</v>
      </c>
      <c r="O41" s="72" t="n">
        <v>15</v>
      </c>
      <c r="P41" s="72" t="n">
        <v>25</v>
      </c>
      <c r="Q41" s="72">
        <f>P41*O41*N41</f>
        <v/>
      </c>
      <c r="R41" s="34">
        <f>Q41/M41</f>
        <v/>
      </c>
      <c r="S41" s="73">
        <f>(M41-P41*O41*N41)/2-O41/2</f>
        <v/>
      </c>
      <c r="T41" s="76">
        <f>S41*2</f>
        <v/>
      </c>
      <c r="U41" s="37" t="inlineStr">
        <is>
          <t>-&gt;</t>
        </is>
      </c>
      <c r="V41" s="72" t="n">
        <v>450</v>
      </c>
      <c r="W41" s="77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78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72" t="n">
        <v>20000</v>
      </c>
      <c r="N43" s="72" t="n">
        <v>12</v>
      </c>
      <c r="O43" s="72" t="n">
        <v>15</v>
      </c>
      <c r="P43" s="72" t="n">
        <v>106</v>
      </c>
      <c r="Q43" s="72">
        <f>P43*O43*N43</f>
        <v/>
      </c>
      <c r="R43" s="34">
        <f>Q43/M43</f>
        <v/>
      </c>
      <c r="S43" s="73">
        <f>(M43-P43*O43*N43)/2-O43/2</f>
        <v/>
      </c>
      <c r="T43" s="74">
        <f>S43*2</f>
        <v/>
      </c>
      <c r="U43" s="37" t="inlineStr">
        <is>
          <t>-&gt;</t>
        </is>
      </c>
      <c r="V43" s="72" t="n">
        <v>900</v>
      </c>
      <c r="W43" s="7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66" t="n"/>
      <c r="M44" s="72">
        <f>M43</f>
        <v/>
      </c>
      <c r="N44" s="72" t="n">
        <v>12</v>
      </c>
      <c r="O44" s="72" t="n">
        <v>30</v>
      </c>
      <c r="P44" s="72" t="n">
        <v>51</v>
      </c>
      <c r="Q44" s="72">
        <f>P44*O44*N44</f>
        <v/>
      </c>
      <c r="R44" s="34">
        <f>Q44/M44</f>
        <v/>
      </c>
      <c r="S44" s="73">
        <f>(M44-P44*O44*N44)/2-O44/2</f>
        <v/>
      </c>
      <c r="T44" s="76">
        <f>S44*2</f>
        <v/>
      </c>
      <c r="U44" s="37" t="n"/>
      <c r="V44" s="72" t="n"/>
      <c r="W44" s="77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72">
        <f>M43</f>
        <v/>
      </c>
      <c r="N45" s="72" t="n">
        <v>12</v>
      </c>
      <c r="O45" s="72" t="n">
        <v>15</v>
      </c>
      <c r="P45" s="72" t="n">
        <v>100</v>
      </c>
      <c r="Q45" s="72">
        <f>P45*O45*N45</f>
        <v/>
      </c>
      <c r="R45" s="34">
        <f>Q45/M45</f>
        <v/>
      </c>
      <c r="S45" s="73">
        <f>(M45-P45*O45*N45)/2-O45/2</f>
        <v/>
      </c>
      <c r="T45" s="76">
        <f>S45*2</f>
        <v/>
      </c>
      <c r="U45" s="37" t="n"/>
      <c r="V45" s="72" t="n"/>
      <c r="W45" s="77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72" t="n"/>
      <c r="N46" s="72" t="n"/>
      <c r="O46" s="72" t="n"/>
      <c r="P46" s="72" t="n"/>
      <c r="Q46" s="72" t="n"/>
      <c r="R46" s="34" t="n"/>
      <c r="S46" s="73" t="n"/>
      <c r="T46" s="43" t="n"/>
      <c r="U46" s="46" t="n"/>
      <c r="V46" s="32" t="n"/>
      <c r="W46" s="7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72" t="n">
        <v>40000</v>
      </c>
      <c r="N47" s="72" t="n">
        <v>12</v>
      </c>
      <c r="O47" s="72" t="n">
        <v>15</v>
      </c>
      <c r="P47" s="72" t="n">
        <v>216</v>
      </c>
      <c r="Q47" s="72">
        <f>P47*O47*N47</f>
        <v/>
      </c>
      <c r="R47" s="34">
        <f>Q47/M47</f>
        <v/>
      </c>
      <c r="S47" s="73">
        <f>(M47-P47*O47*N47)/2-O47/2</f>
        <v/>
      </c>
      <c r="T47" s="74">
        <f>S47*2</f>
        <v/>
      </c>
      <c r="U47" s="37" t="inlineStr">
        <is>
          <t>-&gt;</t>
        </is>
      </c>
      <c r="V47" s="72">
        <f>ROUND(T47,0.001)</f>
        <v/>
      </c>
      <c r="W47" s="7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66" t="n"/>
      <c r="M48" s="72">
        <f>M47</f>
        <v/>
      </c>
      <c r="N48" s="72" t="n">
        <v>12</v>
      </c>
      <c r="O48" s="72" t="n">
        <v>30</v>
      </c>
      <c r="P48" s="72" t="n">
        <v>106</v>
      </c>
      <c r="Q48" s="72">
        <f>P48*O48*N48</f>
        <v/>
      </c>
      <c r="R48" s="34">
        <f>Q48/M48</f>
        <v/>
      </c>
      <c r="S48" s="73">
        <f>(M48-P48*O48*N48)/2-O48/2</f>
        <v/>
      </c>
      <c r="T48" s="76">
        <f>S48*2</f>
        <v/>
      </c>
      <c r="U48" s="37" t="n"/>
      <c r="V48" s="72" t="n"/>
      <c r="W48" s="77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72" t="n"/>
      <c r="W49" s="79" t="n"/>
    </row>
    <row r="50" ht="14.25" customHeight="1" s="60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80" t="n">
        <v>100000</v>
      </c>
      <c r="N50" s="80" t="n">
        <v>12</v>
      </c>
      <c r="O50" s="80" t="n">
        <v>30</v>
      </c>
      <c r="P50" s="80" t="n">
        <v>273</v>
      </c>
      <c r="Q50" s="80">
        <f>P50*O50*N50</f>
        <v/>
      </c>
      <c r="R50" s="52">
        <f>Q50/M50</f>
        <v/>
      </c>
      <c r="S50" s="81">
        <f>(M50-P50*O50*N50)/2-O50/2</f>
        <v/>
      </c>
      <c r="T50" s="82">
        <f>S50*2</f>
        <v/>
      </c>
      <c r="U50" s="37" t="inlineStr">
        <is>
          <t>-&gt;</t>
        </is>
      </c>
      <c r="V50" s="72" t="n">
        <v>1400</v>
      </c>
      <c r="W50" s="7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72" t="n">
        <v>900</v>
      </c>
      <c r="W51" s="75" t="n">
        <v>17</v>
      </c>
    </row>
    <row r="52">
      <c r="V52" s="72" t="n">
        <v>400</v>
      </c>
      <c r="W52" s="75" t="n">
        <v>3</v>
      </c>
    </row>
    <row r="54" ht="14.25" customHeight="1" s="60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71" t="inlineStr">
        <is>
          <t>Eg to Eg</t>
        </is>
      </c>
    </row>
    <row r="56">
      <c r="L56" s="65" t="inlineStr">
        <is>
          <t>NR</t>
        </is>
      </c>
      <c r="M56" s="72" t="n">
        <v>5000</v>
      </c>
      <c r="N56" s="72" t="n">
        <v>12</v>
      </c>
      <c r="O56" s="72" t="n">
        <v>15</v>
      </c>
      <c r="P56" s="72" t="n">
        <v>25</v>
      </c>
      <c r="Q56" s="72">
        <f>P56*O56*N56</f>
        <v/>
      </c>
      <c r="R56" s="34">
        <f>Q56/M56</f>
        <v/>
      </c>
      <c r="S56" s="73">
        <f>(M56-P56*O56*N56)/2-O56/2</f>
        <v/>
      </c>
      <c r="T56" s="74">
        <f>S56*2</f>
        <v/>
      </c>
    </row>
    <row r="57">
      <c r="L57" s="66" t="n"/>
      <c r="M57" s="72">
        <f>M56</f>
        <v/>
      </c>
      <c r="N57" s="72" t="n">
        <v>12</v>
      </c>
      <c r="O57" s="72" t="n">
        <v>30</v>
      </c>
      <c r="P57" s="72" t="n">
        <v>11</v>
      </c>
      <c r="Q57" s="72">
        <f>P57*O57*N57</f>
        <v/>
      </c>
      <c r="R57" s="34">
        <f>Q57/M57</f>
        <v/>
      </c>
      <c r="S57" s="73">
        <f>(M57-P57*O57*N57)/2-O57/2</f>
        <v/>
      </c>
      <c r="T57" s="76">
        <f>S57*2</f>
        <v/>
      </c>
    </row>
    <row r="58">
      <c r="L58" s="65" t="inlineStr">
        <is>
          <t>LTE</t>
        </is>
      </c>
      <c r="M58" s="72">
        <f>M56</f>
        <v/>
      </c>
      <c r="N58" s="72" t="n">
        <v>12</v>
      </c>
      <c r="O58" s="72" t="n">
        <v>15</v>
      </c>
      <c r="P58" s="72" t="n">
        <v>25</v>
      </c>
      <c r="Q58" s="72">
        <f>P58*O58*N58</f>
        <v/>
      </c>
      <c r="R58" s="34">
        <f>Q58/M58</f>
        <v/>
      </c>
      <c r="S58" s="73">
        <f>(M58-P58*O58*N58)/2-O58/2</f>
        <v/>
      </c>
      <c r="T58" s="76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72" t="n">
        <v>10000</v>
      </c>
      <c r="N60" s="72" t="n">
        <v>12</v>
      </c>
      <c r="O60" s="72" t="n">
        <v>15</v>
      </c>
      <c r="P60" s="72" t="n">
        <v>52</v>
      </c>
      <c r="Q60" s="72">
        <f>P60*O60*N60</f>
        <v/>
      </c>
      <c r="R60" s="34">
        <f>Q60/M60</f>
        <v/>
      </c>
      <c r="S60" s="73">
        <f>(M60-P60*O60*N60)/2-O60/2</f>
        <v/>
      </c>
      <c r="T60" s="74">
        <f>S60*2</f>
        <v/>
      </c>
    </row>
    <row r="61">
      <c r="L61" s="66" t="n"/>
      <c r="M61" s="72">
        <f>M60</f>
        <v/>
      </c>
      <c r="N61" s="72" t="n">
        <v>12</v>
      </c>
      <c r="O61" s="72" t="n">
        <v>30</v>
      </c>
      <c r="P61" s="72" t="n">
        <v>24</v>
      </c>
      <c r="Q61" s="72">
        <f>P61*O61*N61</f>
        <v/>
      </c>
      <c r="R61" s="34">
        <f>Q61/M61</f>
        <v/>
      </c>
      <c r="S61" s="73">
        <f>(M61-P61*O61*N61)/2-O61/2</f>
        <v/>
      </c>
      <c r="T61" s="76">
        <f>S61*2</f>
        <v/>
      </c>
    </row>
    <row r="62">
      <c r="L62" s="65" t="inlineStr">
        <is>
          <t>LTE</t>
        </is>
      </c>
      <c r="M62" s="72">
        <f>M60</f>
        <v/>
      </c>
      <c r="N62" s="72" t="n">
        <v>12</v>
      </c>
      <c r="O62" s="72" t="n">
        <v>15</v>
      </c>
      <c r="P62" s="72" t="n">
        <v>50</v>
      </c>
      <c r="Q62" s="72">
        <f>P62*O62*N62</f>
        <v/>
      </c>
      <c r="R62" s="34">
        <f>Q62/M62</f>
        <v/>
      </c>
      <c r="S62" s="73">
        <f>(M62-P62*O62*N62)/2-O62/2</f>
        <v/>
      </c>
      <c r="T62" s="76">
        <f>S62*2</f>
        <v/>
      </c>
    </row>
    <row r="63">
      <c r="L63" s="65" t="n"/>
      <c r="M63" s="72" t="n"/>
      <c r="N63" s="72" t="n"/>
      <c r="O63" s="72" t="n"/>
      <c r="P63" s="72" t="n"/>
      <c r="Q63" s="72" t="n"/>
      <c r="R63" s="34" t="n"/>
      <c r="S63" s="73" t="n"/>
      <c r="T63" s="43" t="n"/>
    </row>
    <row r="64">
      <c r="L64" s="65" t="inlineStr">
        <is>
          <t>NR</t>
        </is>
      </c>
      <c r="M64" s="72" t="n">
        <v>20000</v>
      </c>
      <c r="N64" s="72" t="n">
        <v>12</v>
      </c>
      <c r="O64" s="72" t="n">
        <v>15</v>
      </c>
      <c r="P64" s="72" t="n">
        <v>106</v>
      </c>
      <c r="Q64" s="72">
        <f>P64*O64*N64</f>
        <v/>
      </c>
      <c r="R64" s="34">
        <f>Q64/M64</f>
        <v/>
      </c>
      <c r="S64" s="73">
        <f>(M64-P64*O64*N64)/2-O64/2</f>
        <v/>
      </c>
      <c r="T64" s="7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66" t="n"/>
      <c r="M65" s="72">
        <f>M64</f>
        <v/>
      </c>
      <c r="N65" s="72" t="n">
        <v>12</v>
      </c>
      <c r="O65" s="72" t="n">
        <v>30</v>
      </c>
      <c r="P65" s="72" t="n">
        <v>51</v>
      </c>
      <c r="Q65" s="72">
        <f>P65*O65*N65</f>
        <v/>
      </c>
      <c r="R65" s="34">
        <f>Q65/M65</f>
        <v/>
      </c>
      <c r="S65" s="73">
        <f>(M65-P65*O65*N65)/2-O65/2</f>
        <v/>
      </c>
      <c r="T65" s="76">
        <f>S65*2</f>
        <v/>
      </c>
      <c r="V65" s="68" t="inlineStr">
        <is>
          <t>windowing filter</t>
        </is>
      </c>
      <c r="W65" s="72" t="n">
        <v>400</v>
      </c>
      <c r="X65" s="75" t="n">
        <v>3</v>
      </c>
    </row>
    <row r="66">
      <c r="L66" s="65" t="inlineStr">
        <is>
          <t>LTE</t>
        </is>
      </c>
      <c r="M66" s="72">
        <f>M64</f>
        <v/>
      </c>
      <c r="N66" s="72" t="n">
        <v>12</v>
      </c>
      <c r="O66" s="72" t="n">
        <v>15</v>
      </c>
      <c r="P66" s="72" t="n">
        <v>100</v>
      </c>
      <c r="Q66" s="72">
        <f>P66*O66*N66</f>
        <v/>
      </c>
      <c r="R66" s="34">
        <f>Q66/M66</f>
        <v/>
      </c>
      <c r="S66" s="73">
        <f>(M66-P66*O66*N66)/2-O66/2</f>
        <v/>
      </c>
      <c r="T66" s="76">
        <f>S66*2</f>
        <v/>
      </c>
      <c r="V66" s="69" t="n"/>
      <c r="W66" s="72" t="n">
        <v>900</v>
      </c>
      <c r="X66" s="75" t="n">
        <v>17</v>
      </c>
    </row>
    <row r="67">
      <c r="L67" s="65" t="n"/>
      <c r="M67" s="72" t="n"/>
      <c r="N67" s="72" t="n"/>
      <c r="O67" s="72" t="n"/>
      <c r="P67" s="72" t="n"/>
      <c r="Q67" s="72" t="n"/>
      <c r="R67" s="34" t="n"/>
      <c r="S67" s="73" t="n"/>
      <c r="T67" s="43" t="n"/>
      <c r="V67" s="62" t="n"/>
      <c r="W67" s="72" t="n">
        <v>1400</v>
      </c>
      <c r="X67" s="75" t="n">
        <v>60</v>
      </c>
    </row>
    <row r="68">
      <c r="L68" s="65" t="inlineStr">
        <is>
          <t>NR</t>
        </is>
      </c>
      <c r="M68" s="72" t="n">
        <v>40000</v>
      </c>
      <c r="N68" s="72" t="n">
        <v>12</v>
      </c>
      <c r="O68" s="72" t="n">
        <v>15</v>
      </c>
      <c r="P68" s="72" t="n">
        <v>216</v>
      </c>
      <c r="Q68" s="72">
        <f>P68*O68*N68</f>
        <v/>
      </c>
      <c r="R68" s="34">
        <f>Q68/M68</f>
        <v/>
      </c>
      <c r="S68" s="73">
        <f>(M68-P68*O68*N68)/2-O68/2</f>
        <v/>
      </c>
      <c r="T68" s="74">
        <f>S68*2</f>
        <v/>
      </c>
    </row>
    <row r="69">
      <c r="L69" s="65" t="n"/>
      <c r="M69" s="72">
        <f>M68</f>
        <v/>
      </c>
      <c r="N69" s="72" t="n">
        <v>12</v>
      </c>
      <c r="O69" s="72" t="n">
        <v>30</v>
      </c>
      <c r="P69" s="72" t="n">
        <v>106</v>
      </c>
      <c r="Q69" s="72">
        <f>P69*O69*N69</f>
        <v/>
      </c>
      <c r="R69" s="34">
        <f>Q69/M69</f>
        <v/>
      </c>
      <c r="S69" s="73">
        <f>(M69-P69*O69*N69)/2-O69/2</f>
        <v/>
      </c>
      <c r="T69" s="76">
        <f>S69*2</f>
        <v/>
      </c>
    </row>
    <row r="70">
      <c r="L70" s="47" t="n"/>
      <c r="T70" s="48" t="n"/>
    </row>
    <row r="71" ht="14.25" customHeight="1" s="60" thickBot="1">
      <c r="L71" s="50" t="inlineStr">
        <is>
          <t>NR</t>
        </is>
      </c>
      <c r="M71" s="80" t="n">
        <v>100000</v>
      </c>
      <c r="N71" s="80" t="n">
        <v>12</v>
      </c>
      <c r="O71" s="80" t="n">
        <v>30</v>
      </c>
      <c r="P71" s="80" t="n">
        <v>273</v>
      </c>
      <c r="Q71" s="80">
        <f>P71*O71*N71</f>
        <v/>
      </c>
      <c r="R71" s="52">
        <f>Q71/M71</f>
        <v/>
      </c>
      <c r="S71" s="81">
        <f>(M71-P71*O71*N71)/2-O71/2</f>
        <v/>
      </c>
      <c r="T71" s="82">
        <f>S71*2</f>
        <v/>
      </c>
    </row>
  </sheetData>
  <mergeCells count="8">
    <mergeCell ref="L60:L61"/>
    <mergeCell ref="L47:L48"/>
    <mergeCell ref="L56:L57"/>
    <mergeCell ref="L64:L65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2026-05-08T08:17:20Z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