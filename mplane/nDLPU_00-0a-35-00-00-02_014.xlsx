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980" yWindow="9630" windowWidth="39255" windowHeight="18900" tabRatio="600" firstSheet="0" activeTab="4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zoomScale="85" zoomScaleNormal="85" workbookViewId="0">
      <selection activeCell="C49" sqref="C49:M56"/>
    </sheetView>
  </sheetViews>
  <sheetFormatPr baseColWidth="8" defaultRowHeight="13.5"/>
  <cols>
    <col width="14.28515625" customWidth="1" style="29" min="2" max="2"/>
    <col width="18.5703125" customWidth="1" style="33" min="3" max="3"/>
    <col width="20.5703125" customWidth="1" style="33" min="4" max="4"/>
    <col width="16.28515625" customWidth="1" style="33" min="5" max="5"/>
    <col width="19.28515625" customWidth="1" style="33" min="6" max="6"/>
    <col width="17.85546875" customWidth="1" style="33" min="7" max="7"/>
    <col width="18.140625" customWidth="1" style="33" min="8" max="8"/>
    <col width="18" customWidth="1" style="33" min="9" max="9"/>
    <col width="20.5703125" customWidth="1" style="33" min="10" max="11"/>
    <col width="12.28515625" customWidth="1" style="33" min="12" max="12"/>
    <col width="17.7109375" customWidth="1" style="33" min="13" max="13"/>
    <col width="19.7109375" customWidth="1" style="33" min="14" max="14"/>
    <col width="14.85546875" customWidth="1" style="33" min="15" max="15"/>
    <col width="16.140625" customWidth="1" style="33" min="16" max="16"/>
    <col width="14.42578125" customWidth="1" style="33" min="17" max="17"/>
    <col width="20.5703125" customWidth="1" style="33" min="18" max="18"/>
    <col width="16.85546875" customWidth="1" style="33" min="19" max="19"/>
    <col width="16.85546875" bestFit="1" customWidth="1" style="29" min="20" max="20"/>
  </cols>
  <sheetData>
    <row r="1"/>
    <row r="2"/>
    <row r="3">
      <c r="B3" s="34" t="inlineStr">
        <is>
          <t>1. Cuplane-interface</t>
        </is>
      </c>
      <c r="N3" s="30" t="n"/>
      <c r="O3" s="30" t="inlineStr">
        <is>
          <t>NR</t>
        </is>
      </c>
      <c r="P3" s="32" t="n"/>
      <c r="Q3" s="30" t="inlineStr">
        <is>
          <t>LTE</t>
        </is>
      </c>
    </row>
    <row r="4">
      <c r="G4" s="34" t="n"/>
      <c r="N4" s="26" t="inlineStr">
        <is>
          <t>BW</t>
        </is>
      </c>
      <c r="O4" s="30" t="inlineStr">
        <is>
          <t>KHZ_15</t>
        </is>
      </c>
      <c r="P4" s="30" t="inlineStr">
        <is>
          <t>KHZ_30</t>
        </is>
      </c>
      <c r="Q4" s="30" t="inlineStr">
        <is>
          <t>KHZ_15</t>
        </is>
      </c>
    </row>
    <row r="5">
      <c r="C5" s="30" t="inlineStr">
        <is>
          <t>name</t>
        </is>
      </c>
      <c r="D5" s="13" t="inlineStr">
        <is>
          <t>DLPU_DSD1</t>
        </is>
      </c>
      <c r="E5" s="33" t="inlineStr">
        <is>
          <t>VLAN NAME</t>
        </is>
      </c>
      <c r="G5" s="33" t="inlineStr">
        <is>
          <t xml:space="preserve">            &lt;exponent&gt;4&lt;/exponent&gt;</t>
        </is>
      </c>
      <c r="N5" s="26" t="n">
        <v>5</v>
      </c>
      <c r="O5" s="30" t="n">
        <v>25</v>
      </c>
      <c r="P5" s="30" t="n">
        <v>11</v>
      </c>
      <c r="Q5" s="30" t="n">
        <v>25</v>
      </c>
    </row>
    <row r="6">
      <c r="C6" s="30" t="inlineStr">
        <is>
          <t>Base-interface</t>
        </is>
      </c>
      <c r="D6" s="13" t="inlineStr">
        <is>
          <t>sys</t>
        </is>
      </c>
      <c r="E6" s="33" t="inlineStr">
        <is>
          <t>고정</t>
        </is>
      </c>
      <c r="G6" s="34" t="inlineStr">
        <is>
          <t xml:space="preserve">            &lt;compression-method&gt;BLOCK_FLOATING_POINT&lt;/compression-method&gt;</t>
        </is>
      </c>
      <c r="N6" s="30" t="n">
        <v>10</v>
      </c>
      <c r="O6" s="30" t="n">
        <v>52</v>
      </c>
      <c r="P6" s="30" t="n">
        <v>24</v>
      </c>
      <c r="Q6" s="30" t="n">
        <v>50</v>
      </c>
    </row>
    <row r="7">
      <c r="C7" s="30" t="inlineStr">
        <is>
          <t>vlan id</t>
        </is>
      </c>
      <c r="D7" s="13" t="n">
        <v>1000</v>
      </c>
      <c r="E7" s="21" t="n"/>
      <c r="G7" s="33" t="n"/>
      <c r="N7" s="30" t="n">
        <v>15</v>
      </c>
      <c r="O7" s="30" t="n">
        <v>79</v>
      </c>
      <c r="P7" s="30" t="n">
        <v>38</v>
      </c>
      <c r="Q7" s="30" t="n">
        <v>75</v>
      </c>
    </row>
    <row r="8">
      <c r="C8" s="30" t="inlineStr">
        <is>
          <t>ORU mac-address</t>
        </is>
      </c>
      <c r="D8" s="13" t="inlineStr">
        <is>
          <t>00:0a:35:00:00:02</t>
        </is>
      </c>
      <c r="E8" s="33" t="inlineStr">
        <is>
          <t>nDLPU MAC</t>
        </is>
      </c>
      <c r="N8" s="30" t="n">
        <v>20</v>
      </c>
      <c r="O8" s="30" t="n">
        <v>106</v>
      </c>
      <c r="P8" s="30" t="n">
        <v>51</v>
      </c>
      <c r="Q8" s="30" t="n">
        <v>100</v>
      </c>
    </row>
    <row r="9">
      <c r="N9" s="30" t="n">
        <v>25</v>
      </c>
      <c r="O9" s="30" t="n">
        <v>216</v>
      </c>
      <c r="P9" s="30" t="n">
        <v>65</v>
      </c>
      <c r="Q9" s="30" t="n"/>
    </row>
    <row r="10">
      <c r="N10" s="30" t="n">
        <v>30</v>
      </c>
      <c r="O10" s="30" t="n">
        <v>270</v>
      </c>
      <c r="P10" s="30" t="n">
        <v>78</v>
      </c>
      <c r="Q10" s="30" t="n"/>
    </row>
    <row r="11">
      <c r="B11" s="34" t="inlineStr">
        <is>
          <t>2. Processing element</t>
        </is>
      </c>
      <c r="N11" s="30" t="n">
        <v>40</v>
      </c>
      <c r="O11" s="30" t="n"/>
      <c r="P11" s="30" t="n">
        <v>106</v>
      </c>
      <c r="Q11" s="30" t="n"/>
    </row>
    <row r="12">
      <c r="N12" s="30" t="n">
        <v>50</v>
      </c>
      <c r="O12" s="30" t="n"/>
      <c r="P12" s="30" t="n">
        <v>133</v>
      </c>
      <c r="Q12" s="30" t="n"/>
    </row>
    <row r="13">
      <c r="C13" s="30" t="inlineStr">
        <is>
          <t>name</t>
        </is>
      </c>
      <c r="D13" s="13" t="inlineStr">
        <is>
          <t>ru-pe.0</t>
        </is>
      </c>
      <c r="E13" s="33" t="inlineStr">
        <is>
          <t>oran player</t>
        </is>
      </c>
      <c r="N13" s="30" t="n">
        <v>60</v>
      </c>
      <c r="O13" s="30" t="n"/>
      <c r="P13" s="30" t="n">
        <v>162</v>
      </c>
      <c r="Q13" s="30" t="n"/>
    </row>
    <row r="14" ht="27" customHeight="1" s="29">
      <c r="C14" s="30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0" t="n">
        <v>80</v>
      </c>
      <c r="O14" s="30" t="n"/>
      <c r="P14" s="30" t="n">
        <v>217</v>
      </c>
      <c r="Q14" s="30" t="n"/>
    </row>
    <row r="15">
      <c r="N15" s="30" t="n">
        <v>90</v>
      </c>
      <c r="O15" s="30" t="n"/>
      <c r="P15" s="30" t="n">
        <v>245</v>
      </c>
      <c r="Q15" s="30" t="n"/>
    </row>
    <row r="16">
      <c r="B16" s="34" t="n"/>
      <c r="N16" s="30" t="n">
        <v>100</v>
      </c>
      <c r="O16" s="30" t="n"/>
      <c r="P16" s="30" t="n">
        <v>273</v>
      </c>
      <c r="Q16" s="30" t="n"/>
    </row>
    <row r="17">
      <c r="B17" s="33" t="n"/>
      <c r="G17" s="28" t="n"/>
      <c r="H17" s="28" t="n"/>
    </row>
    <row r="18"/>
    <row r="19">
      <c r="B19" s="34" t="inlineStr">
        <is>
          <t>3. PDSCH</t>
        </is>
      </c>
    </row>
    <row r="20"/>
    <row r="21">
      <c r="B21" s="30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34" t="n">
        <v>6.81</v>
      </c>
    </row>
    <row r="22">
      <c r="B22" s="31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34" t="n"/>
    </row>
    <row r="23">
      <c r="B23" s="30" t="inlineStr">
        <is>
          <t>C0</t>
        </is>
      </c>
      <c r="C23" s="30" t="inlineStr">
        <is>
          <t>llte_0_0_0_1_0_0</t>
        </is>
      </c>
      <c r="D23" s="30" t="inlineStr">
        <is>
          <t>KHZ_30</t>
        </is>
      </c>
      <c r="E23" s="30" t="inlineStr">
        <is>
          <t>133</t>
        </is>
      </c>
      <c r="F23" s="13" t="inlineStr">
        <is>
          <t>2</t>
        </is>
      </c>
      <c r="G23" s="30" t="inlineStr">
        <is>
          <t>llte_0_0_0_1_0_0</t>
        </is>
      </c>
      <c r="H23" s="30" t="inlineStr">
        <is>
          <t>ru-pe.0</t>
        </is>
      </c>
      <c r="I23" s="30" t="inlineStr">
        <is>
          <t>tac_0_0_0_1</t>
        </is>
      </c>
      <c r="J23" s="30" t="inlineStr">
        <is>
          <t>llte_0_0_0_1_0_0</t>
        </is>
      </c>
      <c r="K23" s="30" t="inlineStr">
        <is>
          <t>tac_0_0_0_1</t>
        </is>
      </c>
      <c r="L23" s="30" t="inlineStr">
        <is>
          <t>9</t>
        </is>
      </c>
      <c r="M23" s="30" t="inlineStr">
        <is>
          <t>BFP</t>
        </is>
      </c>
      <c r="N23" s="30" t="inlineStr">
        <is>
          <t>3900</t>
        </is>
      </c>
      <c r="O23" s="30" t="inlineStr">
        <is>
          <t>50000000</t>
        </is>
      </c>
      <c r="P23" s="30" t="inlineStr">
        <is>
          <t>NR</t>
        </is>
      </c>
      <c r="Q23" s="30" t="inlineStr">
        <is>
          <t>0</t>
        </is>
      </c>
      <c r="R23" s="30" t="inlineStr">
        <is>
          <t>19646</t>
        </is>
      </c>
      <c r="S23" s="34" t="inlineStr"/>
      <c r="T23" s="34" t="n">
        <v>6.8</v>
      </c>
      <c r="V23" s="33">
        <f>DEC2HEX(F23)</f>
        <v/>
      </c>
      <c r="W23" s="34" t="n">
        <v>7</v>
      </c>
    </row>
    <row r="24">
      <c r="B24" s="30" t="inlineStr">
        <is>
          <t>C1</t>
        </is>
      </c>
      <c r="C24" s="30" t="inlineStr">
        <is>
          <t>llte_0_0_1_1_0_0</t>
        </is>
      </c>
      <c r="D24" s="30" t="inlineStr">
        <is>
          <t>KHZ_30</t>
        </is>
      </c>
      <c r="E24" s="30" t="inlineStr">
        <is>
          <t>133</t>
        </is>
      </c>
      <c r="F24" s="13" t="inlineStr">
        <is>
          <t>3</t>
        </is>
      </c>
      <c r="G24" s="30" t="inlineStr">
        <is>
          <t>llte_0_0_1_1_0_0</t>
        </is>
      </c>
      <c r="H24" s="30" t="inlineStr">
        <is>
          <t>ru-pe.0</t>
        </is>
      </c>
      <c r="I24" s="30" t="inlineStr">
        <is>
          <t>tac_0_0_1_1</t>
        </is>
      </c>
      <c r="J24" s="30" t="inlineStr">
        <is>
          <t>llte_0_0_1_1_0_0</t>
        </is>
      </c>
      <c r="K24" s="30" t="inlineStr">
        <is>
          <t>tac_0_0_1_1</t>
        </is>
      </c>
      <c r="L24" s="30" t="inlineStr">
        <is>
          <t>9</t>
        </is>
      </c>
      <c r="M24" s="30" t="inlineStr">
        <is>
          <t>BFP</t>
        </is>
      </c>
      <c r="N24" s="30" t="inlineStr">
        <is>
          <t>3950</t>
        </is>
      </c>
      <c r="O24" s="30" t="inlineStr">
        <is>
          <t>50000000</t>
        </is>
      </c>
      <c r="P24" s="30" t="inlineStr">
        <is>
          <t>NR</t>
        </is>
      </c>
      <c r="Q24" s="30" t="inlineStr">
        <is>
          <t>0</t>
        </is>
      </c>
      <c r="R24" s="30" t="inlineStr">
        <is>
          <t>19646</t>
        </is>
      </c>
      <c r="S24" s="34" t="inlineStr"/>
      <c r="T24" s="34" t="n">
        <v>4.2</v>
      </c>
      <c r="V24" s="33">
        <f>DEC2HEX(F24)</f>
        <v/>
      </c>
      <c r="W24" s="34">
        <f>W23</f>
        <v/>
      </c>
    </row>
    <row r="25">
      <c r="B25" s="30" t="inlineStr">
        <is>
          <t>C2</t>
        </is>
      </c>
      <c r="C25" s="30" t="inlineStr">
        <is>
          <t>llte_0_1_0_2_0_0</t>
        </is>
      </c>
      <c r="D25" s="30" t="inlineStr">
        <is>
          <t>KHZ_15</t>
        </is>
      </c>
      <c r="E25" s="30" t="inlineStr">
        <is>
          <t>106</t>
        </is>
      </c>
      <c r="F25" s="13" t="inlineStr">
        <is>
          <t>4</t>
        </is>
      </c>
      <c r="G25" s="30" t="inlineStr">
        <is>
          <t>llte_0_1_0_2_0_0</t>
        </is>
      </c>
      <c r="H25" s="30" t="inlineStr">
        <is>
          <t>ru-pe.0</t>
        </is>
      </c>
      <c r="I25" s="30" t="inlineStr">
        <is>
          <t>tac_0_1_0_2</t>
        </is>
      </c>
      <c r="J25" s="30" t="inlineStr">
        <is>
          <t>llte_0_1_0_2_0_0</t>
        </is>
      </c>
      <c r="K25" s="30" t="inlineStr">
        <is>
          <t>tac_0_1_0_2</t>
        </is>
      </c>
      <c r="L25" s="30" t="inlineStr">
        <is>
          <t>9</t>
        </is>
      </c>
      <c r="M25" s="30" t="inlineStr">
        <is>
          <t>BFP</t>
        </is>
      </c>
      <c r="N25" s="30" t="inlineStr">
        <is>
          <t>1940</t>
        </is>
      </c>
      <c r="O25" s="30" t="inlineStr">
        <is>
          <t>20000000</t>
        </is>
      </c>
      <c r="P25" s="30" t="inlineStr">
        <is>
          <t>NR</t>
        </is>
      </c>
      <c r="Q25" s="30" t="inlineStr">
        <is>
          <t>0</t>
        </is>
      </c>
      <c r="R25" s="30" t="inlineStr">
        <is>
          <t>19646</t>
        </is>
      </c>
      <c r="S25" s="34" t="inlineStr"/>
      <c r="V25" s="33">
        <f>DEC2HEX(F25)</f>
        <v/>
      </c>
      <c r="W25" s="34">
        <f>W24</f>
        <v/>
      </c>
    </row>
    <row r="26">
      <c r="B26" s="30" t="inlineStr">
        <is>
          <t>C3</t>
        </is>
      </c>
      <c r="C26" s="30" t="inlineStr">
        <is>
          <t>llte_0_1_1_2_0_0</t>
        </is>
      </c>
      <c r="D26" s="30" t="inlineStr">
        <is>
          <t>KHZ_15</t>
        </is>
      </c>
      <c r="E26" s="30" t="inlineStr">
        <is>
          <t>106</t>
        </is>
      </c>
      <c r="F26" s="13" t="inlineStr">
        <is>
          <t>5</t>
        </is>
      </c>
      <c r="G26" s="30" t="inlineStr">
        <is>
          <t>llte_0_1_1_2_0_0</t>
        </is>
      </c>
      <c r="H26" s="30" t="inlineStr">
        <is>
          <t>ru-pe.0</t>
        </is>
      </c>
      <c r="I26" s="30" t="inlineStr">
        <is>
          <t>tac_0_1_1_2</t>
        </is>
      </c>
      <c r="J26" s="30" t="inlineStr">
        <is>
          <t>llte_0_1_1_2_0_0</t>
        </is>
      </c>
      <c r="K26" s="30" t="inlineStr">
        <is>
          <t>tac_0_1_1_2</t>
        </is>
      </c>
      <c r="L26" s="30" t="inlineStr">
        <is>
          <t>9</t>
        </is>
      </c>
      <c r="M26" s="30" t="inlineStr">
        <is>
          <t>BFP</t>
        </is>
      </c>
      <c r="N26" s="30" t="inlineStr">
        <is>
          <t>1960</t>
        </is>
      </c>
      <c r="O26" s="30" t="inlineStr">
        <is>
          <t>20000000</t>
        </is>
      </c>
      <c r="P26" s="30" t="inlineStr">
        <is>
          <t>NR</t>
        </is>
      </c>
      <c r="Q26" s="30" t="inlineStr">
        <is>
          <t>0</t>
        </is>
      </c>
      <c r="R26" s="30" t="inlineStr">
        <is>
          <t>19646</t>
        </is>
      </c>
      <c r="S26" s="34" t="inlineStr"/>
      <c r="V26" s="33">
        <f>DEC2HEX(F26)</f>
        <v/>
      </c>
      <c r="W26" s="34">
        <f>W25</f>
        <v/>
      </c>
    </row>
    <row r="27">
      <c r="B27" s="30" t="inlineStr">
        <is>
          <t>C4</t>
        </is>
      </c>
      <c r="C27" s="30" t="inlineStr">
        <is>
          <t>llte_0_2_0_3_0_0</t>
        </is>
      </c>
      <c r="D27" s="30" t="inlineStr">
        <is>
          <t>KHZ_15</t>
        </is>
      </c>
      <c r="E27" s="30" t="inlineStr">
        <is>
          <t>25</t>
        </is>
      </c>
      <c r="F27" s="13" t="inlineStr">
        <is>
          <t>6</t>
        </is>
      </c>
      <c r="G27" s="30" t="inlineStr">
        <is>
          <t>llte_0_2_0_3_0_0</t>
        </is>
      </c>
      <c r="H27" s="30" t="inlineStr">
        <is>
          <t>ru-pe.0</t>
        </is>
      </c>
      <c r="I27" s="30" t="inlineStr">
        <is>
          <t>tac_0_2_0_3</t>
        </is>
      </c>
      <c r="J27" s="30" t="inlineStr">
        <is>
          <t>llte_0_2_0_3_0_0</t>
        </is>
      </c>
      <c r="K27" s="30" t="inlineStr">
        <is>
          <t>tac_0_2_0_3</t>
        </is>
      </c>
      <c r="L27" s="30" t="inlineStr">
        <is>
          <t>9</t>
        </is>
      </c>
      <c r="M27" s="30" t="inlineStr">
        <is>
          <t>BFP</t>
        </is>
      </c>
      <c r="N27" s="30" t="inlineStr">
        <is>
          <t>864.5</t>
        </is>
      </c>
      <c r="O27" s="30" t="inlineStr">
        <is>
          <t>5000000</t>
        </is>
      </c>
      <c r="P27" s="30" t="inlineStr">
        <is>
          <t>NR</t>
        </is>
      </c>
      <c r="Q27" s="30" t="inlineStr">
        <is>
          <t>0</t>
        </is>
      </c>
      <c r="R27" s="30" t="inlineStr">
        <is>
          <t>19646</t>
        </is>
      </c>
      <c r="S27" s="34" t="inlineStr"/>
      <c r="V27" s="33">
        <f>DEC2HEX(F27)</f>
        <v/>
      </c>
      <c r="W27" s="34">
        <f>W26</f>
        <v/>
      </c>
      <c r="AH27" s="12" t="inlineStr">
        <is>
          <t>UL Center</t>
        </is>
      </c>
    </row>
    <row r="28">
      <c r="B28" s="30" t="inlineStr">
        <is>
          <t>C5</t>
        </is>
      </c>
      <c r="C28" s="30" t="inlineStr">
        <is>
          <t>llte_0_2_1_3_0_0</t>
        </is>
      </c>
      <c r="D28" s="30" t="inlineStr">
        <is>
          <t>KHZ_15</t>
        </is>
      </c>
      <c r="E28" s="30" t="inlineStr">
        <is>
          <t>25</t>
        </is>
      </c>
      <c r="F28" s="13" t="inlineStr">
        <is>
          <t>7</t>
        </is>
      </c>
      <c r="G28" s="30" t="inlineStr">
        <is>
          <t>llte_0_2_1_3_0_0</t>
        </is>
      </c>
      <c r="H28" s="30" t="inlineStr">
        <is>
          <t>ru-pe.0</t>
        </is>
      </c>
      <c r="I28" s="30" t="inlineStr">
        <is>
          <t>tac_0_2_1_3</t>
        </is>
      </c>
      <c r="J28" s="30" t="inlineStr">
        <is>
          <t>llte_0_2_1_3_0_0</t>
        </is>
      </c>
      <c r="K28" s="30" t="inlineStr">
        <is>
          <t>tac_0_2_1_3</t>
        </is>
      </c>
      <c r="L28" s="30" t="inlineStr">
        <is>
          <t>9</t>
        </is>
      </c>
      <c r="M28" s="30" t="inlineStr">
        <is>
          <t>BFP</t>
        </is>
      </c>
      <c r="N28" s="30" t="inlineStr">
        <is>
          <t>869.5</t>
        </is>
      </c>
      <c r="O28" s="30" t="inlineStr">
        <is>
          <t>5000000</t>
        </is>
      </c>
      <c r="P28" s="30" t="inlineStr">
        <is>
          <t>NR</t>
        </is>
      </c>
      <c r="Q28" s="30" t="inlineStr">
        <is>
          <t>0</t>
        </is>
      </c>
      <c r="R28" s="30" t="inlineStr">
        <is>
          <t>19646</t>
        </is>
      </c>
      <c r="S28" s="34" t="inlineStr"/>
      <c r="V28" s="33">
        <f>DEC2HEX(F28)</f>
        <v/>
      </c>
      <c r="W28" s="34">
        <f>W27</f>
        <v/>
      </c>
      <c r="AH28" s="12" t="n">
        <v>3900</v>
      </c>
    </row>
    <row r="29">
      <c r="B29" s="30" t="inlineStr">
        <is>
          <t>C6</t>
        </is>
      </c>
      <c r="C29" s="30" t="inlineStr">
        <is>
          <t>llte_0_3_0_4_0_0</t>
        </is>
      </c>
      <c r="D29" s="30" t="inlineStr">
        <is>
          <t>KHZ_15</t>
        </is>
      </c>
      <c r="E29" s="30" t="inlineStr">
        <is>
          <t>25</t>
        </is>
      </c>
      <c r="F29" s="13" t="inlineStr">
        <is>
          <t>8</t>
        </is>
      </c>
      <c r="G29" s="30" t="inlineStr">
        <is>
          <t>llte_0_3_0_4_0_0</t>
        </is>
      </c>
      <c r="H29" s="30" t="inlineStr">
        <is>
          <t>ru-pe.0</t>
        </is>
      </c>
      <c r="I29" s="30" t="inlineStr">
        <is>
          <t>tac_0_3_0_4</t>
        </is>
      </c>
      <c r="J29" s="30" t="inlineStr">
        <is>
          <t>llte_0_3_0_4_0_0</t>
        </is>
      </c>
      <c r="K29" s="30" t="inlineStr">
        <is>
          <t>tac_0_3_0_4</t>
        </is>
      </c>
      <c r="L29" s="30" t="inlineStr">
        <is>
          <t>9</t>
        </is>
      </c>
      <c r="M29" s="30" t="inlineStr">
        <is>
          <t>BFP</t>
        </is>
      </c>
      <c r="N29" s="30" t="inlineStr">
        <is>
          <t>2352.5</t>
        </is>
      </c>
      <c r="O29" s="30" t="inlineStr">
        <is>
          <t>5000000</t>
        </is>
      </c>
      <c r="P29" s="30" t="inlineStr">
        <is>
          <t>NR</t>
        </is>
      </c>
      <c r="Q29" s="30" t="inlineStr">
        <is>
          <t>0</t>
        </is>
      </c>
      <c r="R29" s="30" t="inlineStr">
        <is>
          <t>19646</t>
        </is>
      </c>
      <c r="S29" s="34" t="inlineStr"/>
      <c r="V29" s="33">
        <f>DEC2HEX(F29)</f>
        <v/>
      </c>
      <c r="W29" s="34">
        <f>W28</f>
        <v/>
      </c>
    </row>
    <row r="30">
      <c r="B30" s="30" t="inlineStr">
        <is>
          <t>C7</t>
        </is>
      </c>
      <c r="C30" s="30" t="inlineStr">
        <is>
          <t>llte_0_3_1_4_0_0</t>
        </is>
      </c>
      <c r="D30" s="30" t="inlineStr">
        <is>
          <t>KHZ_15</t>
        </is>
      </c>
      <c r="E30" s="30" t="inlineStr">
        <is>
          <t>25</t>
        </is>
      </c>
      <c r="F30" s="13" t="inlineStr">
        <is>
          <t>9</t>
        </is>
      </c>
      <c r="G30" s="30" t="inlineStr">
        <is>
          <t>llte_0_3_1_4_0_0</t>
        </is>
      </c>
      <c r="H30" s="30" t="inlineStr">
        <is>
          <t>ru-pe.0</t>
        </is>
      </c>
      <c r="I30" s="30" t="inlineStr">
        <is>
          <t>tac_0_3_1_4</t>
        </is>
      </c>
      <c r="J30" s="30" t="inlineStr">
        <is>
          <t>llte_0_3_1_4_0_0</t>
        </is>
      </c>
      <c r="K30" s="30" t="inlineStr">
        <is>
          <t>tac_0_3_1_4</t>
        </is>
      </c>
      <c r="L30" s="30" t="inlineStr">
        <is>
          <t>9</t>
        </is>
      </c>
      <c r="M30" s="30" t="inlineStr">
        <is>
          <t>BFP</t>
        </is>
      </c>
      <c r="N30" s="30" t="inlineStr">
        <is>
          <t>2357.5</t>
        </is>
      </c>
      <c r="O30" s="30" t="inlineStr">
        <is>
          <t>5000000</t>
        </is>
      </c>
      <c r="P30" s="30" t="inlineStr">
        <is>
          <t>NR</t>
        </is>
      </c>
      <c r="Q30" s="30" t="inlineStr">
        <is>
          <t>0</t>
        </is>
      </c>
      <c r="R30" s="30" t="inlineStr">
        <is>
          <t>19646</t>
        </is>
      </c>
      <c r="S30" s="34" t="inlineStr"/>
      <c r="V30" s="33">
        <f>DEC2HEX(F30)</f>
        <v/>
      </c>
      <c r="W30" s="34">
        <f>W29</f>
        <v/>
      </c>
    </row>
    <row r="31">
      <c r="B31" s="33" t="n"/>
      <c r="C31" s="33" t="inlineStr">
        <is>
          <t>고정</t>
        </is>
      </c>
      <c r="F31" s="33" t="inlineStr">
        <is>
          <t>dec (oran은 hex로)</t>
        </is>
      </c>
      <c r="G31" s="33" t="inlineStr">
        <is>
          <t>가능하나 고정</t>
        </is>
      </c>
      <c r="H31" s="33" t="inlineStr">
        <is>
          <t>가능하나 고정</t>
        </is>
      </c>
      <c r="I31" s="33" t="inlineStr">
        <is>
          <t>가능하나 고정</t>
        </is>
      </c>
      <c r="J31" s="33">
        <f>C31</f>
        <v/>
      </c>
      <c r="K31" s="33" t="inlineStr">
        <is>
          <t>가능하나 고정</t>
        </is>
      </c>
    </row>
    <row r="32">
      <c r="B32" s="34" t="inlineStr">
        <is>
          <t>4. PUSCH</t>
        </is>
      </c>
      <c r="S32" s="33" t="inlineStr">
        <is>
          <t xml:space="preserve">TC =~ 0.5 ns = 1/1.96608GHz
</t>
        </is>
      </c>
    </row>
    <row r="33">
      <c r="R33" s="33">
        <f>R36*R17</f>
        <v/>
      </c>
      <c r="S33" s="33">
        <f>S34*1000</f>
        <v/>
      </c>
      <c r="V33" s="34">
        <f>R34</f>
        <v/>
      </c>
      <c r="W33" s="34">
        <f>V33/1000</f>
        <v/>
      </c>
      <c r="X33" s="34" t="n">
        <v>10</v>
      </c>
      <c r="Y33" s="34">
        <f>X33-W33</f>
        <v/>
      </c>
    </row>
    <row r="34">
      <c r="B34" s="30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34" t="n">
        <v>4.09</v>
      </c>
      <c r="V34" s="34">
        <f>S34+R34</f>
        <v/>
      </c>
      <c r="W34" s="34">
        <f>V34/1000</f>
        <v/>
      </c>
      <c r="X34" s="34" t="n">
        <v>10</v>
      </c>
      <c r="Y34" s="34">
        <f>X34-W34</f>
        <v/>
      </c>
    </row>
    <row r="35">
      <c r="B35" s="31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0" t="inlineStr">
        <is>
          <t>C0</t>
        </is>
      </c>
      <c r="C36" s="30" t="inlineStr">
        <is>
          <t>llre_0_0_0_1_0_0</t>
        </is>
      </c>
      <c r="D36" s="30" t="inlineStr">
        <is>
          <t>KHZ_15</t>
        </is>
      </c>
      <c r="E36" s="30" t="inlineStr">
        <is>
          <t>133</t>
        </is>
      </c>
      <c r="F36" s="30" t="inlineStr">
        <is>
          <t>0</t>
        </is>
      </c>
      <c r="G36" s="13" t="inlineStr">
        <is>
          <t>18</t>
        </is>
      </c>
      <c r="H36" s="30" t="inlineStr">
        <is>
          <t>llre_0_0_0_1_0_0</t>
        </is>
      </c>
      <c r="I36" s="30" t="inlineStr">
        <is>
          <t>ru-pe.0</t>
        </is>
      </c>
      <c r="J36" s="30" t="inlineStr">
        <is>
          <t>rac_0_0_0_1</t>
        </is>
      </c>
      <c r="K36" s="30" t="inlineStr">
        <is>
          <t>llre_0_0_0_1_0_0</t>
        </is>
      </c>
      <c r="L36" s="30" t="inlineStr">
        <is>
          <t>9</t>
        </is>
      </c>
      <c r="M36" s="30" t="inlineStr">
        <is>
          <t>BFP</t>
        </is>
      </c>
      <c r="N36" s="30" t="inlineStr">
        <is>
          <t>rac_0_0_0_1</t>
        </is>
      </c>
      <c r="O36" s="30" t="inlineStr">
        <is>
          <t>3900</t>
        </is>
      </c>
      <c r="P36" s="30" t="inlineStr">
        <is>
          <t>50000000</t>
        </is>
      </c>
      <c r="Q36" s="30" t="inlineStr">
        <is>
          <t>NR</t>
        </is>
      </c>
      <c r="R36" s="13" t="inlineStr">
        <is>
          <t>25600</t>
        </is>
      </c>
      <c r="S36" s="30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0" t="inlineStr">
        <is>
          <t>C1</t>
        </is>
      </c>
      <c r="C37" s="30" t="inlineStr">
        <is>
          <t>llre_0_0_1_1_0_0</t>
        </is>
      </c>
      <c r="D37" s="30" t="inlineStr">
        <is>
          <t>KHZ_15</t>
        </is>
      </c>
      <c r="E37" s="30" t="inlineStr">
        <is>
          <t>133</t>
        </is>
      </c>
      <c r="F37" s="30" t="inlineStr">
        <is>
          <t>0</t>
        </is>
      </c>
      <c r="G37" s="13" t="inlineStr">
        <is>
          <t>19</t>
        </is>
      </c>
      <c r="H37" s="30" t="inlineStr">
        <is>
          <t>llre_0_0_1_1_0_0</t>
        </is>
      </c>
      <c r="I37" s="30" t="inlineStr">
        <is>
          <t>ru-pe.0</t>
        </is>
      </c>
      <c r="J37" s="30" t="inlineStr">
        <is>
          <t>rac_0_0_1_1</t>
        </is>
      </c>
      <c r="K37" s="30" t="inlineStr">
        <is>
          <t>llre_0_0_1_1_0_0</t>
        </is>
      </c>
      <c r="L37" s="30" t="inlineStr">
        <is>
          <t>9</t>
        </is>
      </c>
      <c r="M37" s="30" t="inlineStr">
        <is>
          <t>BFP</t>
        </is>
      </c>
      <c r="N37" s="30" t="inlineStr">
        <is>
          <t>rac_0_0_1_1</t>
        </is>
      </c>
      <c r="O37" s="30" t="inlineStr">
        <is>
          <t>3950</t>
        </is>
      </c>
      <c r="P37" s="30" t="inlineStr">
        <is>
          <t>50000000</t>
        </is>
      </c>
      <c r="Q37" s="30" t="inlineStr">
        <is>
          <t>NR</t>
        </is>
      </c>
      <c r="R37" s="13" t="inlineStr">
        <is>
          <t>25600</t>
        </is>
      </c>
      <c r="S37" s="30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0" t="inlineStr">
        <is>
          <t>C2</t>
        </is>
      </c>
      <c r="C38" s="30" t="inlineStr">
        <is>
          <t>llre_0_1_0_2_0_0</t>
        </is>
      </c>
      <c r="D38" s="30" t="inlineStr">
        <is>
          <t>KHZ_15</t>
        </is>
      </c>
      <c r="E38" s="30" t="inlineStr">
        <is>
          <t>106</t>
        </is>
      </c>
      <c r="F38" s="30" t="inlineStr">
        <is>
          <t>0</t>
        </is>
      </c>
      <c r="G38" s="13" t="inlineStr">
        <is>
          <t>20</t>
        </is>
      </c>
      <c r="H38" s="30" t="inlineStr">
        <is>
          <t>llre_0_1_0_2_0_0</t>
        </is>
      </c>
      <c r="I38" s="30" t="inlineStr">
        <is>
          <t>ru-pe.0</t>
        </is>
      </c>
      <c r="J38" s="30" t="inlineStr">
        <is>
          <t>rac_0_1_0_2</t>
        </is>
      </c>
      <c r="K38" s="30" t="inlineStr">
        <is>
          <t>llre_0_1_0_2_0_0</t>
        </is>
      </c>
      <c r="L38" s="30" t="inlineStr">
        <is>
          <t>9</t>
        </is>
      </c>
      <c r="M38" s="30" t="inlineStr">
        <is>
          <t>BFP</t>
        </is>
      </c>
      <c r="N38" s="30" t="inlineStr">
        <is>
          <t>rac_0_1_0_2</t>
        </is>
      </c>
      <c r="O38" s="30" t="inlineStr">
        <is>
          <t>1860</t>
        </is>
      </c>
      <c r="P38" s="30" t="inlineStr">
        <is>
          <t>20000000</t>
        </is>
      </c>
      <c r="Q38" s="30" t="inlineStr">
        <is>
          <t>NR</t>
        </is>
      </c>
      <c r="R38" s="13" t="inlineStr">
        <is>
          <t>25600</t>
        </is>
      </c>
      <c r="S38" s="30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0" t="inlineStr">
        <is>
          <t>C3</t>
        </is>
      </c>
      <c r="C39" s="30" t="inlineStr">
        <is>
          <t>llre_0_1_1_2_0_0</t>
        </is>
      </c>
      <c r="D39" s="30" t="inlineStr">
        <is>
          <t>KHZ_15</t>
        </is>
      </c>
      <c r="E39" s="30" t="inlineStr">
        <is>
          <t>106</t>
        </is>
      </c>
      <c r="F39" s="30" t="inlineStr">
        <is>
          <t>0</t>
        </is>
      </c>
      <c r="G39" s="13" t="inlineStr">
        <is>
          <t>21</t>
        </is>
      </c>
      <c r="H39" s="30" t="inlineStr">
        <is>
          <t>llre_0_1_1_2_0_0</t>
        </is>
      </c>
      <c r="I39" s="30" t="inlineStr">
        <is>
          <t>ru-pe.0</t>
        </is>
      </c>
      <c r="J39" s="30" t="inlineStr">
        <is>
          <t>rac_0_1_1_2</t>
        </is>
      </c>
      <c r="K39" s="30" t="inlineStr">
        <is>
          <t>llre_0_1_1_2_0_0</t>
        </is>
      </c>
      <c r="L39" s="30" t="inlineStr">
        <is>
          <t>9</t>
        </is>
      </c>
      <c r="M39" s="30" t="inlineStr">
        <is>
          <t>BFP</t>
        </is>
      </c>
      <c r="N39" s="30" t="inlineStr">
        <is>
          <t>rac_0_1_1_2</t>
        </is>
      </c>
      <c r="O39" s="30" t="inlineStr">
        <is>
          <t>1880</t>
        </is>
      </c>
      <c r="P39" s="30" t="inlineStr">
        <is>
          <t>20000000</t>
        </is>
      </c>
      <c r="Q39" s="30" t="inlineStr">
        <is>
          <t>NR</t>
        </is>
      </c>
      <c r="R39" s="13" t="inlineStr">
        <is>
          <t>25600</t>
        </is>
      </c>
      <c r="S39" s="30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0" t="inlineStr">
        <is>
          <t>C4</t>
        </is>
      </c>
      <c r="C40" s="30" t="inlineStr">
        <is>
          <t>llre_0_2_0_3_0_0</t>
        </is>
      </c>
      <c r="D40" s="30" t="inlineStr">
        <is>
          <t>KHZ_15</t>
        </is>
      </c>
      <c r="E40" s="30" t="inlineStr">
        <is>
          <t>25</t>
        </is>
      </c>
      <c r="F40" s="30" t="inlineStr">
        <is>
          <t>0</t>
        </is>
      </c>
      <c r="G40" s="13" t="inlineStr">
        <is>
          <t>22</t>
        </is>
      </c>
      <c r="H40" s="30" t="inlineStr">
        <is>
          <t>llre_0_2_0_3_0_0</t>
        </is>
      </c>
      <c r="I40" s="30" t="inlineStr">
        <is>
          <t>ru-pe.0</t>
        </is>
      </c>
      <c r="J40" s="30" t="inlineStr">
        <is>
          <t>rac_0_2_0_3</t>
        </is>
      </c>
      <c r="K40" s="30" t="inlineStr">
        <is>
          <t>llre_0_2_0_3_0_0</t>
        </is>
      </c>
      <c r="L40" s="30" t="inlineStr">
        <is>
          <t>9</t>
        </is>
      </c>
      <c r="M40" s="30" t="inlineStr">
        <is>
          <t>BFP</t>
        </is>
      </c>
      <c r="N40" s="30" t="inlineStr">
        <is>
          <t>rac_0_2_0_3</t>
        </is>
      </c>
      <c r="O40" s="30" t="inlineStr">
        <is>
          <t>832</t>
        </is>
      </c>
      <c r="P40" s="30" t="inlineStr">
        <is>
          <t>5000000</t>
        </is>
      </c>
      <c r="Q40" s="30" t="inlineStr">
        <is>
          <t>NR</t>
        </is>
      </c>
      <c r="R40" s="13" t="inlineStr">
        <is>
          <t>25600</t>
        </is>
      </c>
      <c r="S40" s="30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0" t="inlineStr">
        <is>
          <t>C5</t>
        </is>
      </c>
      <c r="C41" s="30" t="inlineStr">
        <is>
          <t>llre_0_2_1_3_0_0</t>
        </is>
      </c>
      <c r="D41" s="30" t="inlineStr">
        <is>
          <t>KHZ_15</t>
        </is>
      </c>
      <c r="E41" s="30" t="inlineStr">
        <is>
          <t>25</t>
        </is>
      </c>
      <c r="F41" s="30" t="inlineStr">
        <is>
          <t>0</t>
        </is>
      </c>
      <c r="G41" s="13" t="inlineStr">
        <is>
          <t>23</t>
        </is>
      </c>
      <c r="H41" s="30" t="inlineStr">
        <is>
          <t>llre_0_2_1_3_0_0</t>
        </is>
      </c>
      <c r="I41" s="30" t="inlineStr">
        <is>
          <t>ru-pe.0</t>
        </is>
      </c>
      <c r="J41" s="30" t="inlineStr">
        <is>
          <t>rac_0_2_1_3</t>
        </is>
      </c>
      <c r="K41" s="30" t="inlineStr">
        <is>
          <t>llre_0_2_1_3_0_0</t>
        </is>
      </c>
      <c r="L41" s="30" t="inlineStr">
        <is>
          <t>9</t>
        </is>
      </c>
      <c r="M41" s="30" t="inlineStr">
        <is>
          <t>BFP</t>
        </is>
      </c>
      <c r="N41" s="30" t="inlineStr">
        <is>
          <t>rac_0_2_1_3</t>
        </is>
      </c>
      <c r="O41" s="30" t="inlineStr">
        <is>
          <t>837</t>
        </is>
      </c>
      <c r="P41" s="30" t="inlineStr">
        <is>
          <t>5000000</t>
        </is>
      </c>
      <c r="Q41" s="30" t="inlineStr">
        <is>
          <t>NR</t>
        </is>
      </c>
      <c r="R41" s="13" t="inlineStr">
        <is>
          <t>25600</t>
        </is>
      </c>
      <c r="S41" s="30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0" t="inlineStr">
        <is>
          <t>C6</t>
        </is>
      </c>
      <c r="C42" s="30" t="inlineStr">
        <is>
          <t>llre_0_3_0_4_0_0</t>
        </is>
      </c>
      <c r="D42" s="30" t="inlineStr">
        <is>
          <t>KHZ_15</t>
        </is>
      </c>
      <c r="E42" s="30" t="inlineStr">
        <is>
          <t>25</t>
        </is>
      </c>
      <c r="F42" s="30" t="inlineStr">
        <is>
          <t>0</t>
        </is>
      </c>
      <c r="G42" s="13" t="inlineStr">
        <is>
          <t>24</t>
        </is>
      </c>
      <c r="H42" s="30" t="inlineStr">
        <is>
          <t>llre_0_3_0_4_0_0</t>
        </is>
      </c>
      <c r="I42" s="30" t="inlineStr">
        <is>
          <t>ru-pe.0</t>
        </is>
      </c>
      <c r="J42" s="30" t="inlineStr">
        <is>
          <t>rac_0_3_0_4</t>
        </is>
      </c>
      <c r="K42" s="30" t="inlineStr">
        <is>
          <t>llre_0_3_0_4_0_0</t>
        </is>
      </c>
      <c r="L42" s="30" t="inlineStr">
        <is>
          <t>9</t>
        </is>
      </c>
      <c r="M42" s="30" t="inlineStr">
        <is>
          <t>BFP</t>
        </is>
      </c>
      <c r="N42" s="30" t="inlineStr">
        <is>
          <t>rac_0_3_0_4</t>
        </is>
      </c>
      <c r="O42" s="30" t="inlineStr">
        <is>
          <t>2307.5</t>
        </is>
      </c>
      <c r="P42" s="30" t="inlineStr">
        <is>
          <t>5000000</t>
        </is>
      </c>
      <c r="Q42" s="30" t="inlineStr">
        <is>
          <t>NR</t>
        </is>
      </c>
      <c r="R42" s="13" t="inlineStr">
        <is>
          <t>25600</t>
        </is>
      </c>
      <c r="S42" s="30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0" t="inlineStr">
        <is>
          <t>C7</t>
        </is>
      </c>
      <c r="C43" s="30" t="inlineStr">
        <is>
          <t>llre_0_3_1_4_0_0</t>
        </is>
      </c>
      <c r="D43" s="30" t="inlineStr">
        <is>
          <t>KHZ_15</t>
        </is>
      </c>
      <c r="E43" s="30" t="inlineStr">
        <is>
          <t>25</t>
        </is>
      </c>
      <c r="F43" s="30" t="inlineStr">
        <is>
          <t>0</t>
        </is>
      </c>
      <c r="G43" s="13" t="inlineStr">
        <is>
          <t>25</t>
        </is>
      </c>
      <c r="H43" s="30" t="inlineStr">
        <is>
          <t>llre_0_3_1_4_0_0</t>
        </is>
      </c>
      <c r="I43" s="30" t="inlineStr">
        <is>
          <t>ru-pe.0</t>
        </is>
      </c>
      <c r="J43" s="30" t="inlineStr">
        <is>
          <t>rac_0_3_1_4</t>
        </is>
      </c>
      <c r="K43" s="30" t="inlineStr">
        <is>
          <t>llre_0_3_1_4_0_0</t>
        </is>
      </c>
      <c r="L43" s="30" t="inlineStr">
        <is>
          <t>9</t>
        </is>
      </c>
      <c r="M43" s="30" t="inlineStr">
        <is>
          <t>BFP</t>
        </is>
      </c>
      <c r="N43" s="30" t="inlineStr">
        <is>
          <t>rac_0_3_1_4</t>
        </is>
      </c>
      <c r="O43" s="30" t="inlineStr">
        <is>
          <t>2312.5</t>
        </is>
      </c>
      <c r="P43" s="30" t="inlineStr">
        <is>
          <t>5000000</t>
        </is>
      </c>
      <c r="Q43" s="30" t="inlineStr">
        <is>
          <t>NR</t>
        </is>
      </c>
      <c r="R43" s="13" t="inlineStr">
        <is>
          <t>25600</t>
        </is>
      </c>
      <c r="S43" s="30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33" t="n"/>
      <c r="C44" s="33" t="inlineStr">
        <is>
          <t>고정</t>
        </is>
      </c>
      <c r="H44" s="33" t="inlineStr">
        <is>
          <t>가능하나 고정</t>
        </is>
      </c>
      <c r="I44" s="33" t="inlineStr">
        <is>
          <t>가능하나 고정</t>
        </is>
      </c>
      <c r="J44" s="33" t="inlineStr">
        <is>
          <t>가능하나 고정</t>
        </is>
      </c>
      <c r="K44" s="33">
        <f>C44</f>
        <v/>
      </c>
      <c r="N44" s="33" t="inlineStr">
        <is>
          <t>가능하나 고정</t>
        </is>
      </c>
    </row>
    <row r="45">
      <c r="B45" s="34" t="inlineStr">
        <is>
          <t>5. PRACH</t>
        </is>
      </c>
    </row>
    <row r="47">
      <c r="B47" s="30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1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0" t="inlineStr">
        <is>
          <t>C0</t>
        </is>
      </c>
      <c r="C49" s="30" t="inlineStr">
        <is>
          <t>llre_0_0_0_1_1_0</t>
        </is>
      </c>
      <c r="D49" s="30" t="inlineStr">
        <is>
          <t>KHZ_15</t>
        </is>
      </c>
      <c r="E49" s="30" t="inlineStr">
        <is>
          <t>133</t>
        </is>
      </c>
      <c r="F49" s="30" t="inlineStr">
        <is>
          <t>0</t>
        </is>
      </c>
      <c r="G49" s="13" t="inlineStr">
        <is>
          <t>34</t>
        </is>
      </c>
      <c r="H49" s="30" t="inlineStr">
        <is>
          <t>llre_0_0_0_1_1_0</t>
        </is>
      </c>
      <c r="I49" s="30" t="inlineStr">
        <is>
          <t>ru-pe.0</t>
        </is>
      </c>
      <c r="J49" s="30" t="inlineStr">
        <is>
          <t>rac_0_0_0_1</t>
        </is>
      </c>
      <c r="K49" s="30" t="inlineStr">
        <is>
          <t>llre_0_0_0_1_1_0</t>
        </is>
      </c>
      <c r="L49" s="30" t="inlineStr">
        <is>
          <t>9</t>
        </is>
      </c>
      <c r="M49" s="30" t="inlineStr">
        <is>
          <t>BFP</t>
        </is>
      </c>
      <c r="O49" s="33">
        <f>DEC2HEX(G49)</f>
        <v/>
      </c>
    </row>
    <row r="50">
      <c r="B50" s="30" t="inlineStr">
        <is>
          <t>C1</t>
        </is>
      </c>
      <c r="C50" s="30" t="inlineStr">
        <is>
          <t>llre_0_0_1_1_1_0</t>
        </is>
      </c>
      <c r="D50" s="30" t="inlineStr">
        <is>
          <t>KHZ_15</t>
        </is>
      </c>
      <c r="E50" s="30" t="inlineStr">
        <is>
          <t>133</t>
        </is>
      </c>
      <c r="F50" s="30" t="inlineStr">
        <is>
          <t>0</t>
        </is>
      </c>
      <c r="G50" s="13" t="inlineStr">
        <is>
          <t>35</t>
        </is>
      </c>
      <c r="H50" s="30" t="inlineStr">
        <is>
          <t>llre_0_0_1_1_1_0</t>
        </is>
      </c>
      <c r="I50" s="30" t="inlineStr">
        <is>
          <t>ru-pe.0</t>
        </is>
      </c>
      <c r="J50" s="30" t="inlineStr">
        <is>
          <t>rac_0_0_1_1</t>
        </is>
      </c>
      <c r="K50" s="30" t="inlineStr">
        <is>
          <t>llre_0_0_1_1_1_0</t>
        </is>
      </c>
      <c r="L50" s="30" t="inlineStr">
        <is>
          <t>9</t>
        </is>
      </c>
      <c r="M50" s="30" t="inlineStr">
        <is>
          <t>BFP</t>
        </is>
      </c>
      <c r="O50" s="33">
        <f>DEC2HEX(G50)</f>
        <v/>
      </c>
    </row>
    <row r="51">
      <c r="B51" s="30" t="inlineStr">
        <is>
          <t>C2</t>
        </is>
      </c>
      <c r="C51" s="30" t="inlineStr">
        <is>
          <t>llre_0_1_0_2_1_0</t>
        </is>
      </c>
      <c r="D51" s="30" t="inlineStr">
        <is>
          <t>KHZ_15</t>
        </is>
      </c>
      <c r="E51" s="30" t="inlineStr">
        <is>
          <t>106</t>
        </is>
      </c>
      <c r="F51" s="30" t="inlineStr">
        <is>
          <t>0</t>
        </is>
      </c>
      <c r="G51" s="13" t="inlineStr">
        <is>
          <t>36</t>
        </is>
      </c>
      <c r="H51" s="30" t="inlineStr">
        <is>
          <t>llre_0_1_0_2_1_0</t>
        </is>
      </c>
      <c r="I51" s="30" t="inlineStr">
        <is>
          <t>ru-pe.0</t>
        </is>
      </c>
      <c r="J51" s="30" t="inlineStr">
        <is>
          <t>rac_0_1_0_2</t>
        </is>
      </c>
      <c r="K51" s="30" t="inlineStr">
        <is>
          <t>llre_0_1_0_2_1_0</t>
        </is>
      </c>
      <c r="L51" s="30" t="inlineStr">
        <is>
          <t>9</t>
        </is>
      </c>
      <c r="M51" s="30" t="inlineStr">
        <is>
          <t>BFP</t>
        </is>
      </c>
      <c r="O51" s="33">
        <f>DEC2HEX(G51)</f>
        <v/>
      </c>
    </row>
    <row r="52">
      <c r="B52" s="30" t="inlineStr">
        <is>
          <t>C3</t>
        </is>
      </c>
      <c r="C52" s="30" t="inlineStr">
        <is>
          <t>llre_0_1_1_2_1_0</t>
        </is>
      </c>
      <c r="D52" s="30" t="inlineStr">
        <is>
          <t>KHZ_15</t>
        </is>
      </c>
      <c r="E52" s="30" t="inlineStr">
        <is>
          <t>106</t>
        </is>
      </c>
      <c r="F52" s="30" t="inlineStr">
        <is>
          <t>0</t>
        </is>
      </c>
      <c r="G52" s="13" t="inlineStr">
        <is>
          <t>37</t>
        </is>
      </c>
      <c r="H52" s="30" t="inlineStr">
        <is>
          <t>llre_0_1_1_2_1_0</t>
        </is>
      </c>
      <c r="I52" s="30" t="inlineStr">
        <is>
          <t>ru-pe.0</t>
        </is>
      </c>
      <c r="J52" s="30" t="inlineStr">
        <is>
          <t>rac_0_1_1_2</t>
        </is>
      </c>
      <c r="K52" s="30" t="inlineStr">
        <is>
          <t>llre_0_1_1_2_1_0</t>
        </is>
      </c>
      <c r="L52" s="30" t="inlineStr">
        <is>
          <t>9</t>
        </is>
      </c>
      <c r="M52" s="30" t="inlineStr">
        <is>
          <t>BFP</t>
        </is>
      </c>
      <c r="O52" s="33">
        <f>DEC2HEX(G52)</f>
        <v/>
      </c>
    </row>
    <row r="53">
      <c r="B53" s="30" t="inlineStr">
        <is>
          <t>C4</t>
        </is>
      </c>
      <c r="C53" s="30" t="inlineStr">
        <is>
          <t>llre_0_2_0_3_1_0</t>
        </is>
      </c>
      <c r="D53" s="30" t="inlineStr">
        <is>
          <t>KHZ_15</t>
        </is>
      </c>
      <c r="E53" s="30" t="inlineStr">
        <is>
          <t>25</t>
        </is>
      </c>
      <c r="F53" s="30" t="inlineStr">
        <is>
          <t>0</t>
        </is>
      </c>
      <c r="G53" s="13" t="inlineStr">
        <is>
          <t>38</t>
        </is>
      </c>
      <c r="H53" s="30" t="inlineStr">
        <is>
          <t>llre_0_2_0_3_1_0</t>
        </is>
      </c>
      <c r="I53" s="30" t="inlineStr">
        <is>
          <t>ru-pe.0</t>
        </is>
      </c>
      <c r="J53" s="30" t="inlineStr">
        <is>
          <t>rac_0_2_0_3</t>
        </is>
      </c>
      <c r="K53" s="30" t="inlineStr">
        <is>
          <t>llre_0_2_0_3_1_0</t>
        </is>
      </c>
      <c r="L53" s="30" t="inlineStr">
        <is>
          <t>9</t>
        </is>
      </c>
      <c r="M53" s="30" t="inlineStr">
        <is>
          <t>BFP</t>
        </is>
      </c>
      <c r="O53" s="33">
        <f>DEC2HEX(G53)</f>
        <v/>
      </c>
    </row>
    <row r="54">
      <c r="B54" s="30" t="inlineStr">
        <is>
          <t>C5</t>
        </is>
      </c>
      <c r="C54" s="30" t="inlineStr">
        <is>
          <t>llre_0_2_1_3_1_0</t>
        </is>
      </c>
      <c r="D54" s="30" t="inlineStr">
        <is>
          <t>KHZ_15</t>
        </is>
      </c>
      <c r="E54" s="30" t="inlineStr">
        <is>
          <t>25</t>
        </is>
      </c>
      <c r="F54" s="30" t="inlineStr">
        <is>
          <t>0</t>
        </is>
      </c>
      <c r="G54" s="13" t="inlineStr">
        <is>
          <t>39</t>
        </is>
      </c>
      <c r="H54" s="30" t="inlineStr">
        <is>
          <t>llre_0_2_1_3_1_0</t>
        </is>
      </c>
      <c r="I54" s="30" t="inlineStr">
        <is>
          <t>ru-pe.0</t>
        </is>
      </c>
      <c r="J54" s="30" t="inlineStr">
        <is>
          <t>rac_0_2_1_3</t>
        </is>
      </c>
      <c r="K54" s="30" t="inlineStr">
        <is>
          <t>llre_0_2_1_3_1_0</t>
        </is>
      </c>
      <c r="L54" s="30" t="inlineStr">
        <is>
          <t>9</t>
        </is>
      </c>
      <c r="M54" s="30" t="inlineStr">
        <is>
          <t>BFP</t>
        </is>
      </c>
      <c r="O54" s="33">
        <f>DEC2HEX(G54)</f>
        <v/>
      </c>
    </row>
    <row r="55">
      <c r="B55" s="30" t="inlineStr">
        <is>
          <t>C6</t>
        </is>
      </c>
      <c r="C55" s="30" t="inlineStr">
        <is>
          <t>llre_0_3_0_4_1_0</t>
        </is>
      </c>
      <c r="D55" s="30" t="inlineStr">
        <is>
          <t>KHZ_15</t>
        </is>
      </c>
      <c r="E55" s="30" t="inlineStr">
        <is>
          <t>25</t>
        </is>
      </c>
      <c r="F55" s="30" t="inlineStr">
        <is>
          <t>0</t>
        </is>
      </c>
      <c r="G55" s="13" t="inlineStr">
        <is>
          <t>40</t>
        </is>
      </c>
      <c r="H55" s="30" t="inlineStr">
        <is>
          <t>llre_0_3_0_4_1_0</t>
        </is>
      </c>
      <c r="I55" s="30" t="inlineStr">
        <is>
          <t>ru-pe.0</t>
        </is>
      </c>
      <c r="J55" s="30" t="inlineStr">
        <is>
          <t>rac_0_3_0_4</t>
        </is>
      </c>
      <c r="K55" s="30" t="inlineStr">
        <is>
          <t>llre_0_3_0_4_1_0</t>
        </is>
      </c>
      <c r="L55" s="30" t="inlineStr">
        <is>
          <t>9</t>
        </is>
      </c>
      <c r="M55" s="30" t="inlineStr">
        <is>
          <t>BFP</t>
        </is>
      </c>
      <c r="O55" s="33">
        <f>DEC2HEX(G55)</f>
        <v/>
      </c>
    </row>
    <row r="56">
      <c r="B56" s="30" t="inlineStr">
        <is>
          <t>C7</t>
        </is>
      </c>
      <c r="C56" s="30" t="inlineStr">
        <is>
          <t>llre_0_3_1_4_1_0</t>
        </is>
      </c>
      <c r="D56" s="30" t="inlineStr">
        <is>
          <t>KHZ_15</t>
        </is>
      </c>
      <c r="E56" s="30" t="inlineStr">
        <is>
          <t>25</t>
        </is>
      </c>
      <c r="F56" s="30" t="inlineStr">
        <is>
          <t>0</t>
        </is>
      </c>
      <c r="G56" s="13" t="inlineStr">
        <is>
          <t>41</t>
        </is>
      </c>
      <c r="H56" s="30" t="inlineStr">
        <is>
          <t>llre_0_3_1_4_1_0</t>
        </is>
      </c>
      <c r="I56" s="30" t="inlineStr">
        <is>
          <t>ru-pe.0</t>
        </is>
      </c>
      <c r="J56" s="30" t="inlineStr">
        <is>
          <t>rac_0_3_1_4</t>
        </is>
      </c>
      <c r="K56" s="30" t="inlineStr">
        <is>
          <t>llre_0_3_1_4_1_0</t>
        </is>
      </c>
      <c r="L56" s="30" t="inlineStr">
        <is>
          <t>9</t>
        </is>
      </c>
      <c r="M56" s="30" t="inlineStr">
        <is>
          <t>BFP</t>
        </is>
      </c>
      <c r="O56" s="33">
        <f>DEC2HEX(G56)</f>
        <v/>
      </c>
    </row>
    <row r="57">
      <c r="B57" s="33" t="n"/>
      <c r="C57" s="33" t="inlineStr">
        <is>
          <t>고정</t>
        </is>
      </c>
      <c r="H57" s="33" t="inlineStr">
        <is>
          <t>가능하나 고정</t>
        </is>
      </c>
      <c r="I57" s="33" t="inlineStr">
        <is>
          <t>가능하나 고정</t>
        </is>
      </c>
      <c r="J57" s="33" t="inlineStr">
        <is>
          <t>가능하나 고정</t>
        </is>
      </c>
      <c r="K57" s="33">
        <f>C57</f>
        <v/>
      </c>
      <c r="O57" s="33" t="inlineStr">
        <is>
          <t>가능하나 고정</t>
        </is>
      </c>
    </row>
  </sheetData>
  <mergeCells count="4">
    <mergeCell ref="B21:B22"/>
    <mergeCell ref="O3:P3"/>
    <mergeCell ref="B47:B48"/>
    <mergeCell ref="B34:B3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34" t="inlineStr">
        <is>
          <t xml:space="preserve"> </t>
        </is>
      </c>
    </row>
    <row r="2">
      <c r="A2" s="34" t="inlineStr">
        <is>
          <t>&lt;rpc xmlns="urn:ietf:params:xml:ns:netconf:base:1.0" message-id="1"&gt;</t>
        </is>
      </c>
    </row>
    <row r="3">
      <c r="A3" s="34" t="inlineStr">
        <is>
          <t xml:space="preserve">  &lt;edit-config&gt;</t>
        </is>
      </c>
    </row>
    <row r="4">
      <c r="A4" s="34" t="inlineStr">
        <is>
          <t xml:space="preserve">    &lt;target&gt;</t>
        </is>
      </c>
    </row>
    <row r="5">
      <c r="A5" s="34" t="inlineStr">
        <is>
          <t xml:space="preserve">      &lt;running/&gt;</t>
        </is>
      </c>
    </row>
    <row r="6">
      <c r="A6" s="34" t="inlineStr">
        <is>
          <t xml:space="preserve">    &lt;/target&gt;</t>
        </is>
      </c>
    </row>
    <row r="7">
      <c r="A7" s="34" t="inlineStr">
        <is>
          <t xml:space="preserve">    &lt;default-operation&gt;merge&lt;/default-operation&gt;</t>
        </is>
      </c>
    </row>
    <row r="8">
      <c r="A8" s="34" t="inlineStr">
        <is>
          <t xml:space="preserve">    &lt;config&gt;</t>
        </is>
      </c>
    </row>
    <row r="9">
      <c r="A9" s="34" t="inlineStr">
        <is>
          <t xml:space="preserve">      &lt;interfaces xmlns="urn:ietf:params:xml:ns:yang:ietf-interfaces"&gt;</t>
        </is>
      </c>
    </row>
    <row r="10">
      <c r="A10" s="34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34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34" t="inlineStr">
        <is>
          <t xml:space="preserve">          &lt;port-reference xmlns="urn:o-ran:interfaces:1.0"&gt;</t>
        </is>
      </c>
    </row>
    <row r="17">
      <c r="A17" s="34" t="inlineStr">
        <is>
          <t xml:space="preserve">            &lt;port-number&gt;0&lt;/port-number&gt;</t>
        </is>
      </c>
    </row>
    <row r="18">
      <c r="A18" s="34" t="inlineStr">
        <is>
          <t xml:space="preserve">          &lt;/port-reference&gt;</t>
        </is>
      </c>
    </row>
    <row r="19">
      <c r="A19" s="34" t="inlineStr">
        <is>
          <t xml:space="preserve">        &lt;/interface&gt;</t>
        </is>
      </c>
    </row>
    <row r="20">
      <c r="A20" s="34" t="inlineStr">
        <is>
          <t xml:space="preserve">      &lt;/interfaces&gt;</t>
        </is>
      </c>
    </row>
    <row r="21">
      <c r="A21" s="34" t="inlineStr">
        <is>
          <t xml:space="preserve">    &lt;/config&gt;</t>
        </is>
      </c>
    </row>
    <row r="22">
      <c r="A22" s="34" t="inlineStr">
        <is>
          <t xml:space="preserve">  &lt;/edit-config&gt;</t>
        </is>
      </c>
    </row>
    <row r="23">
      <c r="A23" s="34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34" t="inlineStr">
        <is>
          <t>&lt;?xml version="1.0" encoding="UTF-8"?&gt;</t>
        </is>
      </c>
    </row>
    <row r="2">
      <c r="A2" s="34" t="inlineStr">
        <is>
          <t>&lt;rpc xmlns="urn:ietf:params:xml:ns:netconf:base:1.0" message-id="1"&gt;</t>
        </is>
      </c>
    </row>
    <row r="3">
      <c r="A3" s="34" t="inlineStr">
        <is>
          <t xml:space="preserve">  &lt;edit-config&gt;</t>
        </is>
      </c>
    </row>
    <row r="4">
      <c r="A4" s="34" t="inlineStr">
        <is>
          <t xml:space="preserve">    &lt;target&gt;</t>
        </is>
      </c>
    </row>
    <row r="5">
      <c r="A5" s="34" t="inlineStr">
        <is>
          <t xml:space="preserve">      &lt;running/&gt;</t>
        </is>
      </c>
    </row>
    <row r="6">
      <c r="A6" s="34" t="inlineStr">
        <is>
          <t xml:space="preserve">    &lt;/target&gt;</t>
        </is>
      </c>
    </row>
    <row r="7">
      <c r="A7" s="34" t="inlineStr">
        <is>
          <t xml:space="preserve">    &lt;default-operation&gt;merge&lt;/default-operation&gt;</t>
        </is>
      </c>
    </row>
    <row r="8">
      <c r="A8" s="34" t="inlineStr">
        <is>
          <t xml:space="preserve">    &lt;config&gt;</t>
        </is>
      </c>
    </row>
    <row r="9">
      <c r="A9" s="34" t="inlineStr">
        <is>
          <t xml:space="preserve">      &lt;processing-elements xmlns="urn:o-ran:processing-element:1.0"&gt;</t>
        </is>
      </c>
    </row>
    <row r="10">
      <c r="A10" s="34" t="inlineStr">
        <is>
          <t xml:space="preserve">        &lt;transport-session-type&gt;ETH-INTERFACE&lt;/transport-session-type&gt;</t>
        </is>
      </c>
    </row>
    <row r="11">
      <c r="A11" s="34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34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34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34" t="inlineStr">
        <is>
          <t xml:space="preserve">            &lt;/eth-flow&gt;</t>
        </is>
      </c>
    </row>
    <row r="20">
      <c r="A20" s="34" t="inlineStr">
        <is>
          <t xml:space="preserve">          &lt;/transport-flow&gt;</t>
        </is>
      </c>
    </row>
    <row r="21">
      <c r="A21" s="34" t="inlineStr">
        <is>
          <t xml:space="preserve">        &lt;/ru-elements&gt;</t>
        </is>
      </c>
    </row>
    <row r="22">
      <c r="A22" s="34" t="inlineStr">
        <is>
          <t xml:space="preserve">      &lt;/processing-elements&gt;</t>
        </is>
      </c>
    </row>
    <row r="23">
      <c r="A23" s="34" t="inlineStr">
        <is>
          <t xml:space="preserve">    &lt;/config&gt;</t>
        </is>
      </c>
    </row>
    <row r="24">
      <c r="A24" s="34" t="inlineStr">
        <is>
          <t xml:space="preserve">  &lt;/edit-config&gt;</t>
        </is>
      </c>
    </row>
    <row r="25">
      <c r="A25" s="34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472" workbookViewId="0">
      <selection activeCell="B47" sqref="B47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34" t="inlineStr">
        <is>
          <t>&lt;?xml version="1.0" encoding="UTF-8"?&gt;</t>
        </is>
      </c>
    </row>
    <row r="2">
      <c r="A2" s="34" t="inlineStr">
        <is>
          <t>&lt;rpc xmlns="urn:ietf:params:xml:ns:netconf:base:1.0" message-id="1"&gt;</t>
        </is>
      </c>
    </row>
    <row r="3">
      <c r="A3" s="34" t="inlineStr">
        <is>
          <t xml:space="preserve">  &lt;edit-config&gt;</t>
        </is>
      </c>
    </row>
    <row r="4">
      <c r="A4" s="34" t="inlineStr">
        <is>
          <t xml:space="preserve">    &lt;target&gt;</t>
        </is>
      </c>
    </row>
    <row r="5">
      <c r="A5" s="34" t="inlineStr">
        <is>
          <t xml:space="preserve">      &lt;running/&gt;</t>
        </is>
      </c>
    </row>
    <row r="6">
      <c r="A6" s="34" t="inlineStr">
        <is>
          <t xml:space="preserve">    &lt;/target&gt;</t>
        </is>
      </c>
    </row>
    <row r="7">
      <c r="A7" s="34" t="inlineStr">
        <is>
          <t xml:space="preserve">    &lt;default-operation&gt;merge&lt;/default-operation&gt;</t>
        </is>
      </c>
    </row>
    <row r="8">
      <c r="A8" s="34" t="inlineStr">
        <is>
          <t xml:space="preserve">    &lt;config&gt;</t>
        </is>
      </c>
    </row>
    <row r="9">
      <c r="A9" s="34" t="inlineStr">
        <is>
          <t xml:space="preserve">      &lt;user-plane-configuration xmlns="urn:o-ran:uplane-conf:1.0"&gt;</t>
        </is>
      </c>
    </row>
    <row r="10">
      <c r="A10" s="20" t="n"/>
    </row>
    <row r="11">
      <c r="A11" s="34" t="n"/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34" t="n"/>
    </row>
    <row r="99">
      <c r="A99" s="34" t="n"/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34" t="n"/>
    </row>
    <row r="187">
      <c r="A187" s="34" t="n"/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34" t="n"/>
    </row>
    <row r="275">
      <c r="A275" s="34" t="n"/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34" t="n"/>
    </row>
    <row r="364">
      <c r="A364" s="34" t="inlineStr">
        <is>
          <t xml:space="preserve">      &lt;/user-plane-configuration&gt;</t>
        </is>
      </c>
    </row>
    <row r="365">
      <c r="A365" s="34" t="inlineStr">
        <is>
          <t xml:space="preserve">    &lt;/config&gt;</t>
        </is>
      </c>
    </row>
    <row r="366">
      <c r="A366" s="34" t="inlineStr">
        <is>
          <t xml:space="preserve">  &lt;/edit-config&gt;</t>
        </is>
      </c>
    </row>
    <row r="367">
      <c r="A367" s="34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abSelected="1" topLeftCell="A334" zoomScale="70" zoomScaleNormal="70" workbookViewId="0">
      <selection activeCell="B369" sqref="B369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34" t="n"/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34" t="n"/>
    </row>
    <row r="109">
      <c r="A109" s="34" t="n"/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34" t="n"/>
    </row>
    <row r="207">
      <c r="A207" s="34" t="n"/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34" t="n"/>
    </row>
    <row r="305">
      <c r="A305" s="34" t="n"/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34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" zoomScale="130" zoomScaleNormal="130" workbookViewId="0">
      <selection activeCell="A16" sqref="A16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34" t="n"/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34" t="n"/>
    </row>
    <row r="83">
      <c r="A83" s="34" t="n"/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34" t="n"/>
    </row>
    <row r="155">
      <c r="A155" s="34" t="n"/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34" t="n"/>
    </row>
    <row r="191">
      <c r="A191" s="34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34" t="n"/>
    </row>
    <row r="227">
      <c r="A227" s="34" t="n"/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34" t="n"/>
    </row>
    <row r="263">
      <c r="A263" s="34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34" t="n"/>
    </row>
    <row r="299">
      <c r="A299" s="34" t="n"/>
    </row>
    <row r="300">
      <c r="A300" s="34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55" workbookViewId="0">
      <selection activeCell="A92" sqref="A92"/>
    </sheetView>
  </sheetViews>
  <sheetFormatPr baseColWidth="8" defaultRowHeight="13.5"/>
  <cols>
    <col width="64.85546875" bestFit="1" customWidth="1" style="29" min="1" max="1"/>
  </cols>
  <sheetData>
    <row r="1">
      <c r="A1" s="34" t="inlineStr">
        <is>
          <t>&lt;rpc message-id="30" xmlns="urn:ietf:params:xml:ns:netconf:base:1.0"&gt;</t>
        </is>
      </c>
    </row>
    <row r="2">
      <c r="A2" s="34" t="inlineStr">
        <is>
          <t xml:space="preserve">  &lt;edit-config&gt;</t>
        </is>
      </c>
    </row>
    <row r="3">
      <c r="A3" s="34" t="inlineStr">
        <is>
          <t xml:space="preserve">    &lt;target&gt;</t>
        </is>
      </c>
    </row>
    <row r="4">
      <c r="A4" s="34" t="inlineStr">
        <is>
          <t xml:space="preserve">      &lt;running/&gt;</t>
        </is>
      </c>
    </row>
    <row r="5">
      <c r="A5" s="34" t="inlineStr">
        <is>
          <t xml:space="preserve">    &lt;/target&gt;</t>
        </is>
      </c>
    </row>
    <row r="6">
      <c r="A6" s="34" t="inlineStr">
        <is>
          <t xml:space="preserve">    &lt;config&gt;</t>
        </is>
      </c>
    </row>
    <row r="7">
      <c r="A7" s="34" t="inlineStr">
        <is>
          <t xml:space="preserve">      &lt;user-plane-configuration xmlns="urn:o-ran:uplane-conf:1.0"&gt;</t>
        </is>
      </c>
    </row>
    <row r="9">
      <c r="A9" s="34" t="n"/>
    </row>
    <row r="10">
      <c r="A10" s="34" t="inlineStr">
        <is>
          <t xml:space="preserve">        &lt;tx-array-carriers&gt;</t>
        </is>
      </c>
    </row>
    <row r="11">
      <c r="A11" s="20">
        <f>"          &lt;name&gt;"&amp;'Control-Sheet'!$K23&amp;"&lt;/name&gt;"</f>
        <v/>
      </c>
    </row>
    <row r="12">
      <c r="A12" s="34" t="inlineStr">
        <is>
          <t xml:space="preserve">          &lt;active&gt;ACTIVE&lt;/active&gt;</t>
        </is>
      </c>
    </row>
    <row r="13">
      <c r="A13" s="34" t="inlineStr">
        <is>
          <t xml:space="preserve">        &lt;/tx-array-carriers&gt;</t>
        </is>
      </c>
    </row>
    <row r="14">
      <c r="A14" s="34" t="inlineStr">
        <is>
          <t xml:space="preserve">        &lt;tx-array-carriers&gt;</t>
        </is>
      </c>
    </row>
    <row r="15">
      <c r="A15" s="20">
        <f>"          &lt;name&gt;"&amp;'Control-Sheet'!$K24&amp;"&lt;/name&gt;"</f>
        <v/>
      </c>
    </row>
    <row r="16">
      <c r="A16" s="34" t="inlineStr">
        <is>
          <t xml:space="preserve">          &lt;active&gt;ACTIVE&lt;/active&gt;</t>
        </is>
      </c>
    </row>
    <row r="17">
      <c r="A17" s="34" t="inlineStr">
        <is>
          <t xml:space="preserve">        &lt;/tx-array-carriers&gt;</t>
        </is>
      </c>
    </row>
    <row r="18">
      <c r="A18" s="34" t="n"/>
    </row>
    <row r="19">
      <c r="A19" s="34" t="n"/>
    </row>
    <row r="20">
      <c r="A20" s="34" t="inlineStr">
        <is>
          <t xml:space="preserve">        &lt;tx-array-carriers&gt;</t>
        </is>
      </c>
    </row>
    <row r="21">
      <c r="A21" s="20">
        <f>"          &lt;name&gt;"&amp;'Control-Sheet'!$K25&amp;"&lt;/name&gt;"</f>
        <v/>
      </c>
    </row>
    <row r="22">
      <c r="A22" s="34" t="inlineStr">
        <is>
          <t xml:space="preserve">          &lt;active&gt;ACTIVE&lt;/active&gt;</t>
        </is>
      </c>
    </row>
    <row r="23">
      <c r="A23" s="34" t="inlineStr">
        <is>
          <t xml:space="preserve">        &lt;/tx-array-carriers&gt;</t>
        </is>
      </c>
    </row>
    <row r="24">
      <c r="A24" s="34" t="inlineStr">
        <is>
          <t xml:space="preserve">        &lt;tx-array-carriers&gt;</t>
        </is>
      </c>
    </row>
    <row r="25">
      <c r="A25" s="20">
        <f>"          &lt;name&gt;"&amp;'Control-Sheet'!$K26&amp;"&lt;/name&gt;"</f>
        <v/>
      </c>
    </row>
    <row r="26">
      <c r="A26" s="34" t="inlineStr">
        <is>
          <t xml:space="preserve">          &lt;active&gt;ACTIVE&lt;/active&gt;</t>
        </is>
      </c>
    </row>
    <row r="27">
      <c r="A27" s="34" t="inlineStr">
        <is>
          <t xml:space="preserve">        &lt;/tx-array-carriers&gt;</t>
        </is>
      </c>
    </row>
    <row r="28">
      <c r="A28" s="34" t="n"/>
    </row>
    <row r="29">
      <c r="A29" s="34" t="n"/>
    </row>
    <row r="30">
      <c r="A30" s="34" t="inlineStr">
        <is>
          <t xml:space="preserve">        &lt;tx-array-carriers&gt;</t>
        </is>
      </c>
    </row>
    <row r="31">
      <c r="A31" s="20">
        <f>"          &lt;name&gt;"&amp;'Control-Sheet'!$K27&amp;"&lt;/name&gt;"</f>
        <v/>
      </c>
    </row>
    <row r="32">
      <c r="A32" s="34" t="inlineStr">
        <is>
          <t xml:space="preserve">          &lt;active&gt;ACTIVE&lt;/active&gt;</t>
        </is>
      </c>
    </row>
    <row r="33">
      <c r="A33" s="34" t="inlineStr">
        <is>
          <t xml:space="preserve">        &lt;/tx-array-carriers&gt;</t>
        </is>
      </c>
    </row>
    <row r="34">
      <c r="A34" s="34" t="inlineStr">
        <is>
          <t xml:space="preserve">        &lt;tx-array-carriers&gt;</t>
        </is>
      </c>
    </row>
    <row r="35">
      <c r="A35" s="20">
        <f>"          &lt;name&gt;"&amp;'Control-Sheet'!$K28&amp;"&lt;/name&gt;"</f>
        <v/>
      </c>
    </row>
    <row r="36">
      <c r="A36" s="34" t="inlineStr">
        <is>
          <t xml:space="preserve">          &lt;active&gt;ACTIVE&lt;/active&gt;</t>
        </is>
      </c>
    </row>
    <row r="37">
      <c r="A37" s="34" t="inlineStr">
        <is>
          <t xml:space="preserve">        &lt;/tx-array-carriers&gt;</t>
        </is>
      </c>
    </row>
    <row r="38">
      <c r="A38" s="34" t="n"/>
    </row>
    <row r="39">
      <c r="A39" s="34" t="n"/>
    </row>
    <row r="40">
      <c r="A40" s="34" t="inlineStr">
        <is>
          <t xml:space="preserve">        &lt;tx-array-carriers&gt;</t>
        </is>
      </c>
    </row>
    <row r="41">
      <c r="A41" s="20">
        <f>"          &lt;name&gt;"&amp;'Control-Sheet'!$K29&amp;"&lt;/name&gt;"</f>
        <v/>
      </c>
    </row>
    <row r="42">
      <c r="A42" s="34" t="inlineStr">
        <is>
          <t xml:space="preserve">          &lt;active&gt;ACTIVE&lt;/active&gt;</t>
        </is>
      </c>
    </row>
    <row r="43">
      <c r="A43" s="34" t="inlineStr">
        <is>
          <t xml:space="preserve">        &lt;/tx-array-carriers&gt;</t>
        </is>
      </c>
    </row>
    <row r="44">
      <c r="A44" s="34" t="inlineStr">
        <is>
          <t xml:space="preserve">        &lt;tx-array-carriers&gt;</t>
        </is>
      </c>
    </row>
    <row r="45">
      <c r="A45" s="20">
        <f>"          &lt;name&gt;"&amp;'Control-Sheet'!$K30&amp;"&lt;/name&gt;"</f>
        <v/>
      </c>
    </row>
    <row r="46">
      <c r="A46" s="34" t="inlineStr">
        <is>
          <t xml:space="preserve">          &lt;active&gt;ACTIVE&lt;/active&gt;</t>
        </is>
      </c>
      <c r="B46" s="20" t="n"/>
    </row>
    <row r="47">
      <c r="A47" s="34" t="inlineStr">
        <is>
          <t xml:space="preserve">        &lt;/tx-array-carriers&gt;</t>
        </is>
      </c>
    </row>
    <row r="48">
      <c r="A48" s="34" t="n"/>
    </row>
    <row r="49">
      <c r="A49" s="34" t="n"/>
    </row>
    <row r="50">
      <c r="A50" s="34" t="inlineStr">
        <is>
          <t xml:space="preserve">        &lt;rx-array-carriers&gt;</t>
        </is>
      </c>
    </row>
    <row r="51">
      <c r="A51" s="20">
        <f>"          &lt;name&gt;"&amp;'Control-Sheet'!$N36&amp;"&lt;/name&gt;"</f>
        <v/>
      </c>
    </row>
    <row r="52">
      <c r="A52" s="34" t="inlineStr">
        <is>
          <t xml:space="preserve">          &lt;active&gt;ACTIVE&lt;/active&gt;</t>
        </is>
      </c>
    </row>
    <row r="53">
      <c r="A53" s="34" t="inlineStr">
        <is>
          <t xml:space="preserve">        &lt;/rx-array-carriers&gt;</t>
        </is>
      </c>
    </row>
    <row r="54">
      <c r="A54" s="34" t="inlineStr">
        <is>
          <t xml:space="preserve">        &lt;rx-array-carriers&gt;</t>
        </is>
      </c>
    </row>
    <row r="55">
      <c r="A55" s="20">
        <f>"          &lt;name&gt;"&amp;'Control-Sheet'!$N37&amp;"&lt;/name&gt;"</f>
        <v/>
      </c>
    </row>
    <row r="56">
      <c r="A56" s="34" t="inlineStr">
        <is>
          <t xml:space="preserve">          &lt;active&gt;ACTIVE&lt;/active&gt;</t>
        </is>
      </c>
    </row>
    <row r="57">
      <c r="A57" s="34" t="inlineStr">
        <is>
          <t xml:space="preserve">        &lt;/rx-array-carriers&gt;</t>
        </is>
      </c>
    </row>
    <row r="58">
      <c r="A58" s="34" t="n"/>
    </row>
    <row r="59">
      <c r="A59" s="34" t="n"/>
    </row>
    <row r="60">
      <c r="A60" s="34" t="inlineStr">
        <is>
          <t xml:space="preserve">        &lt;rx-array-carriers&gt;</t>
        </is>
      </c>
    </row>
    <row r="61">
      <c r="A61" s="20">
        <f>"          &lt;name&gt;"&amp;'Control-Sheet'!$N38&amp;"&lt;/name&gt;"</f>
        <v/>
      </c>
    </row>
    <row r="62">
      <c r="A62" s="34" t="inlineStr">
        <is>
          <t xml:space="preserve">          &lt;active&gt;ACTIVE&lt;/active&gt;</t>
        </is>
      </c>
    </row>
    <row r="63">
      <c r="A63" s="34" t="inlineStr">
        <is>
          <t xml:space="preserve">        &lt;/rx-array-carriers&gt;</t>
        </is>
      </c>
    </row>
    <row r="64">
      <c r="A64" s="34" t="inlineStr">
        <is>
          <t xml:space="preserve">        &lt;rx-array-carriers&gt;</t>
        </is>
      </c>
    </row>
    <row r="65">
      <c r="A65" s="20">
        <f>"          &lt;name&gt;"&amp;'Control-Sheet'!$N39&amp;"&lt;/name&gt;"</f>
        <v/>
      </c>
    </row>
    <row r="66">
      <c r="A66" s="34" t="inlineStr">
        <is>
          <t xml:space="preserve">          &lt;active&gt;ACTIVE&lt;/active&gt;</t>
        </is>
      </c>
    </row>
    <row r="67">
      <c r="A67" s="34" t="inlineStr">
        <is>
          <t xml:space="preserve">        &lt;/rx-array-carriers&gt;</t>
        </is>
      </c>
    </row>
    <row r="68">
      <c r="A68" s="34" t="n"/>
    </row>
    <row r="69">
      <c r="A69" s="34" t="n"/>
    </row>
    <row r="70">
      <c r="A70" s="34" t="inlineStr">
        <is>
          <t xml:space="preserve">        &lt;rx-array-carriers&gt;</t>
        </is>
      </c>
    </row>
    <row r="71">
      <c r="A71" s="20">
        <f>"          &lt;name&gt;"&amp;'Control-Sheet'!$N40&amp;"&lt;/name&gt;"</f>
        <v/>
      </c>
    </row>
    <row r="72">
      <c r="A72" s="34" t="inlineStr">
        <is>
          <t xml:space="preserve">          &lt;active&gt;ACTIVE&lt;/active&gt;</t>
        </is>
      </c>
    </row>
    <row r="73">
      <c r="A73" s="34" t="inlineStr">
        <is>
          <t xml:space="preserve">        &lt;/rx-array-carriers&gt;</t>
        </is>
      </c>
    </row>
    <row r="74">
      <c r="A74" s="34" t="inlineStr">
        <is>
          <t xml:space="preserve">        &lt;rx-array-carriers&gt;</t>
        </is>
      </c>
    </row>
    <row r="75">
      <c r="A75" s="20">
        <f>"          &lt;name&gt;"&amp;'Control-Sheet'!$N41&amp;"&lt;/name&gt;"</f>
        <v/>
      </c>
    </row>
    <row r="76">
      <c r="A76" s="34" t="inlineStr">
        <is>
          <t xml:space="preserve">          &lt;active&gt;ACTIVE&lt;/active&gt;</t>
        </is>
      </c>
    </row>
    <row r="77">
      <c r="A77" s="34" t="inlineStr">
        <is>
          <t xml:space="preserve">        &lt;/rx-array-carriers&gt;</t>
        </is>
      </c>
    </row>
    <row r="78">
      <c r="A78" s="34" t="n"/>
    </row>
    <row r="79">
      <c r="A79" s="34" t="n"/>
    </row>
    <row r="80">
      <c r="A80" s="34" t="inlineStr">
        <is>
          <t xml:space="preserve">        &lt;rx-array-carriers&gt;</t>
        </is>
      </c>
    </row>
    <row r="81">
      <c r="A81" s="20">
        <f>"          &lt;name&gt;"&amp;'Control-Sheet'!$N42&amp;"&lt;/name&gt;"</f>
        <v/>
      </c>
    </row>
    <row r="82">
      <c r="A82" s="34" t="inlineStr">
        <is>
          <t xml:space="preserve">          &lt;active&gt;ACTIVE&lt;/active&gt;</t>
        </is>
      </c>
    </row>
    <row r="83">
      <c r="A83" s="34" t="inlineStr">
        <is>
          <t xml:space="preserve">        &lt;/rx-array-carriers&gt;</t>
        </is>
      </c>
    </row>
    <row r="84">
      <c r="A84" s="34" t="inlineStr">
        <is>
          <t xml:space="preserve">        &lt;rx-array-carriers&gt;</t>
        </is>
      </c>
    </row>
    <row r="85">
      <c r="A85" s="20">
        <f>"          &lt;name&gt;"&amp;'Control-Sheet'!$N43&amp;"&lt;/name&gt;"</f>
        <v/>
      </c>
    </row>
    <row r="86">
      <c r="A86" s="34" t="inlineStr">
        <is>
          <t xml:space="preserve">          &lt;active&gt;ACTIVE&lt;/active&gt;</t>
        </is>
      </c>
    </row>
    <row r="87">
      <c r="A87" s="34" t="inlineStr">
        <is>
          <t xml:space="preserve">        &lt;/rx-array-carriers&gt;</t>
        </is>
      </c>
    </row>
    <row r="88">
      <c r="A88" s="34" t="n"/>
    </row>
    <row r="90">
      <c r="A90" s="34" t="inlineStr">
        <is>
          <t xml:space="preserve">      &lt;/user-plane-configuration&gt;</t>
        </is>
      </c>
    </row>
    <row r="91">
      <c r="A91" s="34" t="inlineStr">
        <is>
          <t xml:space="preserve">    &lt;/config&gt;</t>
        </is>
      </c>
    </row>
    <row r="92">
      <c r="A92" s="34" t="inlineStr">
        <is>
          <t xml:space="preserve">  &lt;/edit-config&gt;</t>
        </is>
      </c>
    </row>
    <row r="93">
      <c r="A93" s="34" t="inlineStr">
        <is>
          <t>&lt;/rpc&gt;</t>
        </is>
      </c>
    </row>
  </sheetData>
  <autoFilter ref="A1:A9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2026-05-08T08:42:18Z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