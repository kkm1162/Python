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170CD6D2-914F-4273-B4E1-D5DE83245D0E}" xr6:coauthVersionLast="47" xr6:coauthVersionMax="47" xr10:uidLastSave="{00000000-0000-0000-0000-000000000000}"/>
  <bookViews>
    <workbookView xWindow="12840" yWindow="3735" windowWidth="43200" windowHeight="23445" activeTab="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ACTIVE!$A$1:$A$79</definedName>
    <definedName name="_xlnm._FilterDatabase" localSheetId="3" hidden="1">PDSCH!$A$1:$A$351</definedName>
    <definedName name="_xlnm._FilterDatabase" localSheetId="5" hidden="1">PRACH!$A$1:$A$295</definedName>
    <definedName name="_xlnm._FilterDatabase" localSheetId="4" hidden="1">PUSCH!$A$1:$A$391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1" i="7" l="1"/>
  <c r="A67" i="7"/>
  <c r="A63" i="7"/>
  <c r="A59" i="7"/>
  <c r="A55" i="7"/>
  <c r="A51" i="7"/>
  <c r="A47" i="7"/>
  <c r="A43" i="7"/>
  <c r="A37" i="7"/>
  <c r="A33" i="7"/>
  <c r="A29" i="7"/>
  <c r="A25" i="7"/>
  <c r="A21" i="7"/>
  <c r="A17" i="7"/>
  <c r="A13" i="7"/>
  <c r="A9" i="7"/>
  <c r="A384" i="5"/>
  <c r="A383" i="5"/>
  <c r="A382" i="5"/>
  <c r="A381" i="5"/>
  <c r="A375" i="5"/>
  <c r="A374" i="5"/>
  <c r="A372" i="5"/>
  <c r="A371" i="5"/>
  <c r="A369" i="5"/>
  <c r="A365" i="5"/>
  <c r="A358" i="5"/>
  <c r="A357" i="5"/>
  <c r="A354" i="5"/>
  <c r="A353" i="5"/>
  <c r="A342" i="5"/>
  <c r="A337" i="5"/>
  <c r="A336" i="5"/>
  <c r="A335" i="5"/>
  <c r="A334" i="5"/>
  <c r="A328" i="5"/>
  <c r="A327" i="5"/>
  <c r="A325" i="5"/>
  <c r="A324" i="5"/>
  <c r="A322" i="5"/>
  <c r="A318" i="5"/>
  <c r="A311" i="5"/>
  <c r="A310" i="5"/>
  <c r="A307" i="5"/>
  <c r="A306" i="5"/>
  <c r="A295" i="5"/>
  <c r="A290" i="5"/>
  <c r="A289" i="5"/>
  <c r="A288" i="5"/>
  <c r="A287" i="5"/>
  <c r="A281" i="5"/>
  <c r="A280" i="5"/>
  <c r="A278" i="5"/>
  <c r="A277" i="5"/>
  <c r="A275" i="5"/>
  <c r="A271" i="5"/>
  <c r="A264" i="5"/>
  <c r="A263" i="5"/>
  <c r="A260" i="5"/>
  <c r="A259" i="5"/>
  <c r="A248" i="5"/>
  <c r="A243" i="5"/>
  <c r="A242" i="5"/>
  <c r="A241" i="5"/>
  <c r="A240" i="5"/>
  <c r="A234" i="5"/>
  <c r="A233" i="5"/>
  <c r="A231" i="5"/>
  <c r="A230" i="5"/>
  <c r="A228" i="5"/>
  <c r="A224" i="5"/>
  <c r="A217" i="5"/>
  <c r="A216" i="5"/>
  <c r="A213" i="5"/>
  <c r="A212" i="5"/>
  <c r="A201" i="5"/>
  <c r="A196" i="5"/>
  <c r="A195" i="5"/>
  <c r="A194" i="5"/>
  <c r="A193" i="5"/>
  <c r="A187" i="5"/>
  <c r="A186" i="5"/>
  <c r="A184" i="5"/>
  <c r="A183" i="5"/>
  <c r="A181" i="5"/>
  <c r="A177" i="5"/>
  <c r="A170" i="5"/>
  <c r="A169" i="5"/>
  <c r="A166" i="5"/>
  <c r="A165" i="5"/>
  <c r="A154" i="5"/>
  <c r="A149" i="5"/>
  <c r="A148" i="5"/>
  <c r="A147" i="5"/>
  <c r="A146" i="5"/>
  <c r="A140" i="5"/>
  <c r="A139" i="5"/>
  <c r="A137" i="5"/>
  <c r="A136" i="5"/>
  <c r="A134" i="5"/>
  <c r="A130" i="5"/>
  <c r="A123" i="5"/>
  <c r="A122" i="5"/>
  <c r="A119" i="5"/>
  <c r="A118" i="5"/>
  <c r="A107" i="5"/>
  <c r="A102" i="5"/>
  <c r="A101" i="5"/>
  <c r="A100" i="5"/>
  <c r="A99" i="5"/>
  <c r="A93" i="5"/>
  <c r="A92" i="5"/>
  <c r="A90" i="5"/>
  <c r="A89" i="5"/>
  <c r="A87" i="5"/>
  <c r="A83" i="5"/>
  <c r="A76" i="5"/>
  <c r="A75" i="5"/>
  <c r="A72" i="5"/>
  <c r="A71" i="5"/>
  <c r="A60" i="5"/>
  <c r="A55" i="5"/>
  <c r="A54" i="5"/>
  <c r="A53" i="5"/>
  <c r="A52" i="5"/>
  <c r="A46" i="5"/>
  <c r="A45" i="5"/>
  <c r="A43" i="5"/>
  <c r="A42" i="5"/>
  <c r="A40" i="5"/>
  <c r="A36" i="5"/>
  <c r="A29" i="5"/>
  <c r="A28" i="5"/>
  <c r="A25" i="5"/>
  <c r="A24" i="5"/>
  <c r="A13" i="5"/>
  <c r="A344" i="4"/>
  <c r="A343" i="4"/>
  <c r="A342" i="4"/>
  <c r="A341" i="4"/>
  <c r="A338" i="4"/>
  <c r="A335" i="4"/>
  <c r="A333" i="4"/>
  <c r="A332" i="4"/>
  <c r="A330" i="4"/>
  <c r="A326" i="4"/>
  <c r="A319" i="4"/>
  <c r="A318" i="4"/>
  <c r="A307" i="4"/>
  <c r="A302" i="4"/>
  <c r="A301" i="4"/>
  <c r="A300" i="4"/>
  <c r="A299" i="4"/>
  <c r="A296" i="4"/>
  <c r="A293" i="4"/>
  <c r="A291" i="4"/>
  <c r="A290" i="4"/>
  <c r="A288" i="4"/>
  <c r="A284" i="4"/>
  <c r="A277" i="4"/>
  <c r="A276" i="4"/>
  <c r="A265" i="4"/>
  <c r="A260" i="4"/>
  <c r="A259" i="4"/>
  <c r="A258" i="4"/>
  <c r="A257" i="4"/>
  <c r="A254" i="4"/>
  <c r="A251" i="4"/>
  <c r="A249" i="4"/>
  <c r="A248" i="4"/>
  <c r="A246" i="4"/>
  <c r="A242" i="4"/>
  <c r="A235" i="4"/>
  <c r="A234" i="4"/>
  <c r="A223" i="4"/>
  <c r="A218" i="4"/>
  <c r="A217" i="4"/>
  <c r="A216" i="4"/>
  <c r="A215" i="4"/>
  <c r="A212" i="4"/>
  <c r="A209" i="4"/>
  <c r="A207" i="4"/>
  <c r="A206" i="4"/>
  <c r="A204" i="4"/>
  <c r="A200" i="4"/>
  <c r="A193" i="4"/>
  <c r="A192" i="4"/>
  <c r="A181" i="4"/>
  <c r="A176" i="4"/>
  <c r="A175" i="4"/>
  <c r="A174" i="4"/>
  <c r="A173" i="4"/>
  <c r="A170" i="4"/>
  <c r="A167" i="4"/>
  <c r="A165" i="4"/>
  <c r="A164" i="4"/>
  <c r="A162" i="4"/>
  <c r="A158" i="4"/>
  <c r="A151" i="4"/>
  <c r="A150" i="4"/>
  <c r="A139" i="4"/>
  <c r="A134" i="4"/>
  <c r="A133" i="4"/>
  <c r="A132" i="4"/>
  <c r="A131" i="4"/>
  <c r="A128" i="4"/>
  <c r="A125" i="4"/>
  <c r="A123" i="4"/>
  <c r="A122" i="4"/>
  <c r="A120" i="4"/>
  <c r="A116" i="4"/>
  <c r="A109" i="4"/>
  <c r="A108" i="4"/>
  <c r="A97" i="4"/>
  <c r="A92" i="4"/>
  <c r="A91" i="4"/>
  <c r="A90" i="4"/>
  <c r="A89" i="4"/>
  <c r="A86" i="4"/>
  <c r="A83" i="4"/>
  <c r="A81" i="4"/>
  <c r="A80" i="4"/>
  <c r="A78" i="4"/>
  <c r="A74" i="4"/>
  <c r="A67" i="4"/>
  <c r="A66" i="4"/>
  <c r="A55" i="4"/>
  <c r="A50" i="4"/>
  <c r="A49" i="4"/>
  <c r="A48" i="4"/>
  <c r="A47" i="4"/>
  <c r="A44" i="4"/>
  <c r="A41" i="4"/>
  <c r="A39" i="4"/>
  <c r="A38" i="4"/>
  <c r="A36" i="4"/>
  <c r="A32" i="4"/>
  <c r="A25" i="4"/>
  <c r="A24" i="4"/>
  <c r="A13" i="4"/>
  <c r="A18" i="3"/>
  <c r="A17" i="3"/>
  <c r="A16" i="3"/>
  <c r="A14" i="3"/>
  <c r="A12" i="3"/>
  <c r="A15" i="2"/>
  <c r="A14" i="2"/>
  <c r="A13" i="2"/>
  <c r="A11" i="2"/>
  <c r="A288" i="6"/>
  <c r="A287" i="6"/>
  <c r="A286" i="6"/>
  <c r="A285" i="6"/>
  <c r="A281" i="6"/>
  <c r="A274" i="6"/>
  <c r="A273" i="6"/>
  <c r="A258" i="6"/>
  <c r="A253" i="6"/>
  <c r="A252" i="6"/>
  <c r="A251" i="6"/>
  <c r="A250" i="6"/>
  <c r="A246" i="6"/>
  <c r="A239" i="6"/>
  <c r="A238" i="6"/>
  <c r="A223" i="6"/>
  <c r="A218" i="6"/>
  <c r="A217" i="6"/>
  <c r="A216" i="6"/>
  <c r="A215" i="6"/>
  <c r="A211" i="6"/>
  <c r="A204" i="6"/>
  <c r="A203" i="6"/>
  <c r="A188" i="6"/>
  <c r="A183" i="6"/>
  <c r="A182" i="6"/>
  <c r="A181" i="6"/>
  <c r="A180" i="6"/>
  <c r="A176" i="6"/>
  <c r="A169" i="6"/>
  <c r="A168" i="6"/>
  <c r="A153" i="6"/>
  <c r="A148" i="6"/>
  <c r="A147" i="6"/>
  <c r="A146" i="6"/>
  <c r="A145" i="6"/>
  <c r="A141" i="6"/>
  <c r="A134" i="6"/>
  <c r="A133" i="6"/>
  <c r="A118" i="6"/>
  <c r="A113" i="6"/>
  <c r="A112" i="6"/>
  <c r="A111" i="6"/>
  <c r="A110" i="6"/>
  <c r="A106" i="6"/>
  <c r="A99" i="6"/>
  <c r="A98" i="6"/>
  <c r="A83" i="6"/>
  <c r="A78" i="6"/>
  <c r="A77" i="6"/>
  <c r="A76" i="6"/>
  <c r="A75" i="6"/>
  <c r="A71" i="6"/>
  <c r="A64" i="6"/>
  <c r="A63" i="6"/>
  <c r="A48" i="6"/>
  <c r="A43" i="6"/>
  <c r="A42" i="6"/>
  <c r="A41" i="6"/>
  <c r="A40" i="6"/>
  <c r="A36" i="6"/>
  <c r="A29" i="6"/>
  <c r="A28" i="6"/>
  <c r="A13" i="6"/>
</calcChain>
</file>

<file path=xl/sharedStrings.xml><?xml version="1.0" encoding="utf-8"?>
<sst xmlns="http://schemas.openxmlformats.org/spreadsheetml/2006/main" count="1142" uniqueCount="179">
  <si>
    <t>&lt;?xml version="1.0" encoding="UTF-8"?&gt;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</si>
  <si>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</si>
  <si>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</si>
  <si>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</si>
  <si>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</si>
  <si>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</si>
  <si>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</si>
  <si>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</si>
  <si>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&lt;user-plane-configuration xmlns="urn:o-ran:uplane-conf:1.0"&gt;</t>
  </si>
  <si>
    <t xml:space="preserve">        &lt;low-level-rx-endpoints&gt;</t>
  </si>
  <si>
    <t xml:space="preserve">          &lt;compression&gt;</t>
  </si>
  <si>
    <t xml:space="preserve">            &lt;compression-type&gt;STATIC&lt;/compression-type&gt;</t>
  </si>
  <si>
    <t xml:space="preserve">            &lt;iq-bitwidth&gt;16&lt;/iq-bitwidth&gt;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</si>
  <si>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</si>
  <si>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</si>
  <si>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</si>
  <si>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</si>
  <si>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</si>
  <si>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</si>
  <si>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&lt;ul-fft-sampling-offsets&gt;</t>
  </si>
  <si>
    <t xml:space="preserve">          &lt;/ul-fft-sampling-offsets&gt;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</si>
  <si>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</si>
  <si>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</si>
  <si>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</si>
  <si>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</si>
  <si>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</si>
  <si>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</si>
  <si>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&lt;/low-level-rx-endpoints&gt;</t>
  </si>
  <si>
    <t xml:space="preserve">        &lt;low-level-rx-links&gt;</t>
  </si>
  <si>
    <t xml:space="preserve">        &lt;/low-level-rx-links&gt;</t>
  </si>
  <si>
    <t xml:space="preserve">          &lt;number-of-prb-per-scs&gt;</t>
  </si>
  <si>
    <t xml:space="preserve">          &lt;/number-of-prb-per-scs&gt;</t>
  </si>
  <si>
    <t xml:space="preserve">      &lt;/user-plane-configuration&gt;</t>
  </si>
  <si>
    <t xml:space="preserve">    &lt;/config&gt;</t>
  </si>
  <si>
    <t xml:space="preserve">  &lt;/edit-config&gt;</t>
  </si>
  <si>
    <t>&lt;/rpc&gt;</t>
  </si>
  <si>
    <t>1. Cuplane-interface</t>
  </si>
  <si>
    <t>name</t>
  </si>
  <si>
    <t>1000</t>
  </si>
  <si>
    <t>Base-interface</t>
  </si>
  <si>
    <t>sys</t>
  </si>
  <si>
    <t>vlan id</t>
  </si>
  <si>
    <t>ORU mac-address</t>
  </si>
  <si>
    <t>dc:c1:01:00:05:05</t>
  </si>
  <si>
    <t>2. Processing element</t>
  </si>
  <si>
    <t>ru-pe.0</t>
  </si>
  <si>
    <t>ODU mac-address</t>
  </si>
  <si>
    <t>00:11:22:33:44:55</t>
  </si>
  <si>
    <t>3. PDSCH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</si>
  <si>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</si>
  <si>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</si>
  <si>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</si>
  <si>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</si>
  <si>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</si>
  <si>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</si>
  <si>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</si>
  <si>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</si>
  <si>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</si>
  <si>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Center-FREQ</t>
  </si>
  <si>
    <t>Channel-BW</t>
  </si>
  <si>
    <t>type</t>
  </si>
  <si>
    <t>gain</t>
  </si>
  <si>
    <t>ON</t>
  </si>
  <si>
    <t>C0</t>
  </si>
  <si>
    <t>llte_0_0_0_1_0_0</t>
  </si>
  <si>
    <t>KHZ_15</t>
  </si>
  <si>
    <t>106</t>
  </si>
  <si>
    <t>2</t>
  </si>
  <si>
    <t>tac_0_0_0_1</t>
  </si>
  <si>
    <t>3415</t>
  </si>
  <si>
    <t>10</t>
  </si>
  <si>
    <t>NR</t>
  </si>
  <si>
    <t>7</t>
  </si>
  <si>
    <t>C1</t>
  </si>
  <si>
    <t>llte_0_0_1_1_0_0</t>
  </si>
  <si>
    <t>3</t>
  </si>
  <si>
    <t>tac_0_0_1_1</t>
  </si>
  <si>
    <t>3445</t>
  </si>
  <si>
    <t>C2</t>
  </si>
  <si>
    <t>llte_0_0_0_2_0_0</t>
  </si>
  <si>
    <t>4</t>
  </si>
  <si>
    <t>tac_0_0_0_2</t>
  </si>
  <si>
    <t>C3</t>
  </si>
  <si>
    <t>llte_0_0_1_2_0_0</t>
  </si>
  <si>
    <t>5</t>
  </si>
  <si>
    <t>tac_0_0_1_2</t>
  </si>
  <si>
    <t>C4</t>
  </si>
  <si>
    <t>llte_0_0_0_3_0_0</t>
  </si>
  <si>
    <t>6</t>
  </si>
  <si>
    <t>tac_0_0_0_3</t>
  </si>
  <si>
    <t>C5</t>
  </si>
  <si>
    <t>llte_0_0_1_3_0_0</t>
  </si>
  <si>
    <t>tac_0_0_1_3</t>
  </si>
  <si>
    <t>C6</t>
  </si>
  <si>
    <t>llte_0_0_0_4_0_0</t>
  </si>
  <si>
    <t>8</t>
  </si>
  <si>
    <t>tac_0_0_0_4</t>
  </si>
  <si>
    <t>C7</t>
  </si>
  <si>
    <t>llte_0_0_1_4_0_0</t>
  </si>
  <si>
    <t>9</t>
  </si>
  <si>
    <t>tac_0_0_1_4</t>
  </si>
  <si>
    <t>4. PUSCH</t>
  </si>
  <si>
    <t>ul-fft-sampling-offset</t>
  </si>
  <si>
    <t>n-ta-offset</t>
  </si>
  <si>
    <t>llre_0_0_0_1_0_0</t>
  </si>
  <si>
    <t>0</t>
  </si>
  <si>
    <t>18</t>
  </si>
  <si>
    <t>rac_0_0_0_1</t>
  </si>
  <si>
    <t>25600</t>
  </si>
  <si>
    <t>llre_0_0_1_1_0_0</t>
  </si>
  <si>
    <t>19</t>
  </si>
  <si>
    <t>rac_0_0_1_1</t>
  </si>
  <si>
    <t>llre_0_0_0_2_0_0</t>
  </si>
  <si>
    <t>20</t>
  </si>
  <si>
    <t>rac_0_0_0_2</t>
  </si>
  <si>
    <t>llre_0_0_1_2_0_0</t>
  </si>
  <si>
    <t>21</t>
  </si>
  <si>
    <t>rac_0_0_1_2</t>
  </si>
  <si>
    <t>llre_0_0_0_3_0_0</t>
  </si>
  <si>
    <t>22</t>
  </si>
  <si>
    <t>rac_0_0_0_3</t>
  </si>
  <si>
    <t>llre_0_0_1_3_0_0</t>
  </si>
  <si>
    <t>23</t>
  </si>
  <si>
    <t>rac_0_0_1_3</t>
  </si>
  <si>
    <t>llre_0_0_0_4_0_0</t>
  </si>
  <si>
    <t>24</t>
  </si>
  <si>
    <t>rac_0_0_0_4</t>
  </si>
  <si>
    <t>llre_0_0_1_4_0_0</t>
  </si>
  <si>
    <t>25</t>
  </si>
  <si>
    <t>rac_0_0_1_4</t>
  </si>
  <si>
    <t>5. PRACH</t>
  </si>
  <si>
    <t>llre_0_0_0_1_1_0</t>
  </si>
  <si>
    <t>34</t>
  </si>
  <si>
    <t>llre_0_0_1_1_1_0</t>
  </si>
  <si>
    <t>35</t>
  </si>
  <si>
    <t>llre_0_0_0_2_1_0</t>
  </si>
  <si>
    <t>36</t>
  </si>
  <si>
    <t>llre_0_0_1_2_1_0</t>
  </si>
  <si>
    <t>37</t>
  </si>
  <si>
    <t>llre_0_0_0_3_1_0</t>
  </si>
  <si>
    <t>38</t>
  </si>
  <si>
    <t>llre_0_0_1_3_1_0</t>
  </si>
  <si>
    <t>39</t>
  </si>
  <si>
    <t>llre_0_0_0_4_1_0</t>
  </si>
  <si>
    <t>40</t>
  </si>
  <si>
    <t>llre_0_0_1_4_1_0</t>
  </si>
  <si>
    <t>41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</si>
  <si>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</si>
  <si>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</si>
  <si>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</si>
  <si>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</si>
  <si>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</si>
  <si>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</si>
  <si>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</si>
  <si>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</si>
  <si>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</si>
  <si>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</si>
  <si>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</si>
  <si>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</si>
  <si>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</si>
  <si>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</si>
  <si>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</si>
  <si>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</si>
  <si>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</si>
  <si>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  &lt;low-level-tx-endpoints&gt;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</si>
  <si>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</si>
  <si>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</si>
  <si>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</si>
  <si>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</si>
  <si>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</si>
  <si>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</si>
  <si>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</si>
  <si>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</si>
  <si>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</si>
  <si>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</si>
  <si>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</si>
  <si>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</si>
  <si>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>&lt;rpc message-id="30" xmlns="urn:ietf:params:xml:ns:netconf:base:1.0"&gt;</t>
  </si>
  <si>
    <t xml:space="preserve">          &lt;active&gt;ACTIVE&lt;/active&gt;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</si>
</sst>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0" fillId="0" borderId="0" xfId="0" quotePrefix="1">
      <alignment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Q55"/>
  <sheetViews>
    <sheetView zoomScale="85" zoomScaleNormal="85" workbookViewId="0">
      <selection activeCell="A21" sqref="A21"/>
    </sheetView>
  </sheetViews>
  <sheetFormatPr defaultRowHeight="13.5" x14ac:dyDescent="0.25"/>
  <cols>
    <col min="2" max="2" width="10.5703125" style="35" customWidth="1"/>
    <col min="3" max="16" width="20.5703125" style="10" customWidth="1"/>
  </cols>
  <sheetData>
    <row r="2" spans="2:4" x14ac:dyDescent="0.25">
      <c r="B2" t="s">
        <v>36</v>
      </c>
    </row>
    <row r="4" spans="2:4" x14ac:dyDescent="0.25">
      <c r="C4" s="11" t="s">
        <v>37</v>
      </c>
      <c r="D4" s="27" t="s">
        <v>38</v>
      </c>
    </row>
    <row r="5" spans="2:4" x14ac:dyDescent="0.25">
      <c r="C5" s="11" t="s">
        <v>39</v>
      </c>
      <c r="D5" s="27" t="s">
        <v>40</v>
      </c>
    </row>
    <row r="6" spans="2:4" x14ac:dyDescent="0.25">
      <c r="C6" s="11" t="s">
        <v>41</v>
      </c>
      <c r="D6" s="27" t="s">
        <v>38</v>
      </c>
    </row>
    <row r="7" spans="2:4" x14ac:dyDescent="0.25">
      <c r="C7" s="11" t="s">
        <v>42</v>
      </c>
      <c r="D7" s="27" t="s">
        <v>43</v>
      </c>
    </row>
    <row r="10" spans="2:4" x14ac:dyDescent="0.25">
      <c r="B10" t="s">
        <v>44</v>
      </c>
    </row>
    <row r="12" spans="2:4" x14ac:dyDescent="0.25">
      <c r="C12" s="11" t="s">
        <v>37</v>
      </c>
      <c r="D12" s="27" t="s">
        <v>45</v>
      </c>
    </row>
    <row r="13" spans="2:4" x14ac:dyDescent="0.25">
      <c r="C13" s="11" t="s">
        <v>46</v>
      </c>
      <c r="D13" s="27" t="s">
        <v>47</v>
      </c>
    </row>
    <row r="16" spans="2:4" x14ac:dyDescent="0.25">
      <c r="B16" t="s">
        <v>48</v>
      </c>
    </row>
    <row r="17" spans="1:16" ht="14.25" customHeight="1" thickBot="1" x14ac:dyDescent="0.3"/>
    <row r="18" spans="1:16" x14ac:dyDescent="0.25">
      <c r="B18" s="37"/>
      <c r="C18" s="20" t="s">
        <v>49</v>
      </c>
      <c r="D18" s="21"/>
      <c r="E18" s="21"/>
      <c r="F18" s="22"/>
      <c r="G18" s="20" t="s">
        <v>50</v>
      </c>
      <c r="H18" s="21"/>
      <c r="I18" s="21"/>
      <c r="J18" s="22"/>
      <c r="K18" s="20" t="s">
        <v>51</v>
      </c>
      <c r="L18" s="21"/>
      <c r="M18" s="21"/>
      <c r="N18" s="21"/>
      <c r="O18" s="22"/>
      <c r="P18"/>
    </row>
    <row r="19" spans="1:16" x14ac:dyDescent="0.25">
      <c r="B19" s="38"/>
      <c r="C19" s="17" t="s">
        <v>37</v>
      </c>
      <c r="D19" s="25" t="s">
        <v>52</v>
      </c>
      <c r="E19" s="18" t="s">
        <v>53</v>
      </c>
      <c r="F19" s="19" t="s">
        <v>54</v>
      </c>
      <c r="G19" s="17" t="s">
        <v>37</v>
      </c>
      <c r="H19" s="18" t="s">
        <v>55</v>
      </c>
      <c r="I19" s="18" t="s">
        <v>56</v>
      </c>
      <c r="J19" s="19" t="s">
        <v>57</v>
      </c>
      <c r="K19" s="17" t="s">
        <v>37</v>
      </c>
      <c r="L19" s="18" t="s">
        <v>58</v>
      </c>
      <c r="M19" s="18" t="s">
        <v>59</v>
      </c>
      <c r="N19" s="18" t="s">
        <v>60</v>
      </c>
      <c r="O19" s="19" t="s">
        <v>61</v>
      </c>
      <c r="P19"/>
    </row>
    <row r="20" spans="1:16" x14ac:dyDescent="0.25">
      <c r="A20" t="s">
        <v>62</v>
      </c>
      <c r="B20" s="23" t="s">
        <v>63</v>
      </c>
      <c r="C20" s="13" t="s">
        <v>64</v>
      </c>
      <c r="D20" s="12" t="s">
        <v>65</v>
      </c>
      <c r="E20" s="11" t="s">
        <v>66</v>
      </c>
      <c r="F20" s="14" t="s">
        <v>67</v>
      </c>
      <c r="G20" s="13" t="s">
        <v>64</v>
      </c>
      <c r="H20" s="11" t="s">
        <v>45</v>
      </c>
      <c r="I20" s="11" t="s">
        <v>68</v>
      </c>
      <c r="J20" s="14" t="s">
        <v>64</v>
      </c>
      <c r="K20" s="13" t="s">
        <v>68</v>
      </c>
      <c r="L20" s="11" t="s">
        <v>69</v>
      </c>
      <c r="M20" s="11" t="s">
        <v>70</v>
      </c>
      <c r="N20" s="11" t="s">
        <v>71</v>
      </c>
      <c r="O20" s="14" t="s">
        <v>72</v>
      </c>
      <c r="P20">
        <v>2</v>
      </c>
    </row>
    <row r="21" spans="1:16" x14ac:dyDescent="0.25">
      <c r="A21" t="s">
        <v>62</v>
      </c>
      <c r="B21" s="23" t="s">
        <v>73</v>
      </c>
      <c r="C21" s="13" t="s">
        <v>74</v>
      </c>
      <c r="D21" s="12" t="s">
        <v>65</v>
      </c>
      <c r="E21" s="11" t="s">
        <v>66</v>
      </c>
      <c r="F21" s="14" t="s">
        <v>75</v>
      </c>
      <c r="G21" s="13" t="s">
        <v>74</v>
      </c>
      <c r="H21" s="11" t="s">
        <v>45</v>
      </c>
      <c r="I21" s="11" t="s">
        <v>76</v>
      </c>
      <c r="J21" s="14" t="s">
        <v>74</v>
      </c>
      <c r="K21" s="13" t="s">
        <v>76</v>
      </c>
      <c r="L21" s="11" t="s">
        <v>77</v>
      </c>
      <c r="M21" s="11" t="s">
        <v>70</v>
      </c>
      <c r="N21" s="11" t="s">
        <v>71</v>
      </c>
      <c r="O21" s="14" t="s">
        <v>72</v>
      </c>
      <c r="P21">
        <v>3</v>
      </c>
    </row>
    <row r="22" spans="1:16" x14ac:dyDescent="0.25">
      <c r="A22" t="s">
        <v>62</v>
      </c>
      <c r="B22" s="23" t="s">
        <v>78</v>
      </c>
      <c r="C22" s="13" t="s">
        <v>79</v>
      </c>
      <c r="D22" s="12" t="s">
        <v>65</v>
      </c>
      <c r="E22" s="11" t="s">
        <v>66</v>
      </c>
      <c r="F22" s="14" t="s">
        <v>80</v>
      </c>
      <c r="G22" s="13" t="s">
        <v>79</v>
      </c>
      <c r="H22" s="11" t="s">
        <v>45</v>
      </c>
      <c r="I22" s="11" t="s">
        <v>81</v>
      </c>
      <c r="J22" s="14" t="s">
        <v>79</v>
      </c>
      <c r="K22" s="13" t="s">
        <v>81</v>
      </c>
      <c r="L22" s="11" t="s">
        <v>69</v>
      </c>
      <c r="M22" s="11" t="s">
        <v>70</v>
      </c>
      <c r="N22" s="11" t="s">
        <v>71</v>
      </c>
      <c r="O22" s="14" t="s">
        <v>72</v>
      </c>
      <c r="P22">
        <v>4</v>
      </c>
    </row>
    <row r="23" spans="1:16" x14ac:dyDescent="0.25">
      <c r="A23" t="s">
        <v>62</v>
      </c>
      <c r="B23" s="23" t="s">
        <v>82</v>
      </c>
      <c r="C23" s="13" t="s">
        <v>83</v>
      </c>
      <c r="D23" s="12" t="s">
        <v>65</v>
      </c>
      <c r="E23" s="11" t="s">
        <v>66</v>
      </c>
      <c r="F23" s="14" t="s">
        <v>84</v>
      </c>
      <c r="G23" s="13" t="s">
        <v>83</v>
      </c>
      <c r="H23" s="11" t="s">
        <v>45</v>
      </c>
      <c r="I23" s="11" t="s">
        <v>85</v>
      </c>
      <c r="J23" s="14" t="s">
        <v>83</v>
      </c>
      <c r="K23" s="13" t="s">
        <v>85</v>
      </c>
      <c r="L23" s="11" t="s">
        <v>77</v>
      </c>
      <c r="M23" s="11" t="s">
        <v>70</v>
      </c>
      <c r="N23" s="11" t="s">
        <v>71</v>
      </c>
      <c r="O23" s="14" t="s">
        <v>72</v>
      </c>
      <c r="P23">
        <v>5</v>
      </c>
    </row>
    <row r="24" spans="1:16" x14ac:dyDescent="0.25">
      <c r="A24" t="s">
        <v>62</v>
      </c>
      <c r="B24" s="23" t="s">
        <v>86</v>
      </c>
      <c r="C24" s="13" t="s">
        <v>87</v>
      </c>
      <c r="D24" s="12" t="s">
        <v>65</v>
      </c>
      <c r="E24" s="11" t="s">
        <v>66</v>
      </c>
      <c r="F24" s="14" t="s">
        <v>88</v>
      </c>
      <c r="G24" s="13" t="s">
        <v>87</v>
      </c>
      <c r="H24" s="11" t="s">
        <v>45</v>
      </c>
      <c r="I24" s="11" t="s">
        <v>89</v>
      </c>
      <c r="J24" s="14" t="s">
        <v>87</v>
      </c>
      <c r="K24" s="13" t="s">
        <v>89</v>
      </c>
      <c r="L24" s="11" t="s">
        <v>69</v>
      </c>
      <c r="M24" s="11" t="s">
        <v>70</v>
      </c>
      <c r="N24" s="11" t="s">
        <v>71</v>
      </c>
      <c r="O24" s="14" t="s">
        <v>72</v>
      </c>
      <c r="P24">
        <v>6</v>
      </c>
    </row>
    <row r="25" spans="1:16" x14ac:dyDescent="0.25">
      <c r="A25" t="s">
        <v>62</v>
      </c>
      <c r="B25" s="23" t="s">
        <v>90</v>
      </c>
      <c r="C25" s="13" t="s">
        <v>91</v>
      </c>
      <c r="D25" s="12" t="s">
        <v>65</v>
      </c>
      <c r="E25" s="11" t="s">
        <v>66</v>
      </c>
      <c r="F25" s="14" t="s">
        <v>72</v>
      </c>
      <c r="G25" s="13" t="s">
        <v>91</v>
      </c>
      <c r="H25" s="11" t="s">
        <v>45</v>
      </c>
      <c r="I25" s="11" t="s">
        <v>92</v>
      </c>
      <c r="J25" s="14" t="s">
        <v>91</v>
      </c>
      <c r="K25" s="13" t="s">
        <v>92</v>
      </c>
      <c r="L25" s="11" t="s">
        <v>77</v>
      </c>
      <c r="M25" s="11" t="s">
        <v>70</v>
      </c>
      <c r="N25" s="11" t="s">
        <v>71</v>
      </c>
      <c r="O25" s="14" t="s">
        <v>72</v>
      </c>
      <c r="P25">
        <v>7</v>
      </c>
    </row>
    <row r="26" spans="1:16" x14ac:dyDescent="0.25">
      <c r="A26" t="s">
        <v>62</v>
      </c>
      <c r="B26" s="23" t="s">
        <v>93</v>
      </c>
      <c r="C26" s="13" t="s">
        <v>94</v>
      </c>
      <c r="D26" s="12" t="s">
        <v>65</v>
      </c>
      <c r="E26" s="11" t="s">
        <v>66</v>
      </c>
      <c r="F26" s="14" t="s">
        <v>95</v>
      </c>
      <c r="G26" s="13" t="s">
        <v>94</v>
      </c>
      <c r="H26" s="11" t="s">
        <v>45</v>
      </c>
      <c r="I26" s="11" t="s">
        <v>96</v>
      </c>
      <c r="J26" s="14" t="s">
        <v>94</v>
      </c>
      <c r="K26" s="13" t="s">
        <v>96</v>
      </c>
      <c r="L26" s="11" t="s">
        <v>69</v>
      </c>
      <c r="M26" s="11" t="s">
        <v>70</v>
      </c>
      <c r="N26" s="11" t="s">
        <v>71</v>
      </c>
      <c r="O26" s="14" t="s">
        <v>72</v>
      </c>
      <c r="P26">
        <v>8</v>
      </c>
    </row>
    <row r="27" spans="1:16" ht="14.25" customHeight="1" thickBot="1" x14ac:dyDescent="0.3">
      <c r="A27" t="s">
        <v>62</v>
      </c>
      <c r="B27" s="24" t="s">
        <v>97</v>
      </c>
      <c r="C27" s="13" t="s">
        <v>98</v>
      </c>
      <c r="D27" s="26" t="s">
        <v>65</v>
      </c>
      <c r="E27" s="15" t="s">
        <v>66</v>
      </c>
      <c r="F27" s="16" t="s">
        <v>99</v>
      </c>
      <c r="G27" s="13" t="s">
        <v>98</v>
      </c>
      <c r="H27" s="15" t="s">
        <v>45</v>
      </c>
      <c r="I27" s="15" t="s">
        <v>100</v>
      </c>
      <c r="J27" s="16" t="s">
        <v>98</v>
      </c>
      <c r="K27" s="13" t="s">
        <v>100</v>
      </c>
      <c r="L27" s="11" t="s">
        <v>77</v>
      </c>
      <c r="M27" s="11" t="s">
        <v>70</v>
      </c>
      <c r="N27" s="15" t="s">
        <v>71</v>
      </c>
      <c r="O27" s="16" t="s">
        <v>72</v>
      </c>
      <c r="P27">
        <v>9</v>
      </c>
    </row>
    <row r="28" spans="1:16" x14ac:dyDescent="0.25">
      <c r="B28" s="10"/>
    </row>
    <row r="30" spans="1:16" x14ac:dyDescent="0.25">
      <c r="B30" t="s">
        <v>101</v>
      </c>
    </row>
    <row r="31" spans="1:16" ht="14.25" customHeight="1" thickBot="1" x14ac:dyDescent="0.3"/>
    <row r="32" spans="1:16" x14ac:dyDescent="0.25">
      <c r="B32" s="37"/>
      <c r="C32" s="20" t="s">
        <v>49</v>
      </c>
      <c r="D32" s="21"/>
      <c r="E32" s="21"/>
      <c r="F32" s="21"/>
      <c r="G32" s="22"/>
      <c r="H32" s="20" t="s">
        <v>50</v>
      </c>
      <c r="I32" s="21"/>
      <c r="J32" s="21"/>
      <c r="K32" s="22"/>
      <c r="L32" s="20" t="s">
        <v>51</v>
      </c>
      <c r="M32" s="21"/>
      <c r="N32" s="21"/>
      <c r="O32" s="21"/>
      <c r="P32" s="22"/>
    </row>
    <row r="33" spans="2:17" x14ac:dyDescent="0.25">
      <c r="B33" s="38"/>
      <c r="C33" s="17" t="s">
        <v>37</v>
      </c>
      <c r="D33" s="25" t="s">
        <v>52</v>
      </c>
      <c r="E33" s="18" t="s">
        <v>53</v>
      </c>
      <c r="F33" s="18" t="s">
        <v>102</v>
      </c>
      <c r="G33" s="19" t="s">
        <v>54</v>
      </c>
      <c r="H33" s="17" t="s">
        <v>37</v>
      </c>
      <c r="I33" s="18" t="s">
        <v>55</v>
      </c>
      <c r="J33" s="18" t="s">
        <v>56</v>
      </c>
      <c r="K33" s="19" t="s">
        <v>57</v>
      </c>
      <c r="L33" s="17" t="s">
        <v>37</v>
      </c>
      <c r="M33" s="18" t="s">
        <v>58</v>
      </c>
      <c r="N33" s="18" t="s">
        <v>59</v>
      </c>
      <c r="O33" s="18" t="s">
        <v>60</v>
      </c>
      <c r="P33" s="19" t="s">
        <v>103</v>
      </c>
    </row>
    <row r="34" spans="2:17" x14ac:dyDescent="0.25">
      <c r="B34" s="23" t="s">
        <v>63</v>
      </c>
      <c r="C34" s="13" t="s">
        <v>104</v>
      </c>
      <c r="D34" s="12" t="s">
        <v>65</v>
      </c>
      <c r="E34" s="11" t="s">
        <v>66</v>
      </c>
      <c r="F34" s="11" t="s">
        <v>105</v>
      </c>
      <c r="G34" s="14" t="s">
        <v>106</v>
      </c>
      <c r="H34" s="13" t="s">
        <v>104</v>
      </c>
      <c r="I34" s="11" t="s">
        <v>45</v>
      </c>
      <c r="J34" s="13" t="s">
        <v>107</v>
      </c>
      <c r="K34" s="14" t="s">
        <v>104</v>
      </c>
      <c r="L34" s="13" t="s">
        <v>107</v>
      </c>
      <c r="M34" s="11" t="s">
        <v>69</v>
      </c>
      <c r="N34" s="11" t="s">
        <v>70</v>
      </c>
      <c r="O34" s="11" t="s">
        <v>71</v>
      </c>
      <c r="P34" s="14" t="s">
        <v>108</v>
      </c>
      <c r="Q34">
        <v>12</v>
      </c>
    </row>
    <row r="35" spans="2:17" x14ac:dyDescent="0.25">
      <c r="B35" s="23" t="s">
        <v>73</v>
      </c>
      <c r="C35" s="13" t="s">
        <v>109</v>
      </c>
      <c r="D35" s="12" t="s">
        <v>65</v>
      </c>
      <c r="E35" s="11" t="s">
        <v>66</v>
      </c>
      <c r="F35" s="11" t="s">
        <v>105</v>
      </c>
      <c r="G35" s="14" t="s">
        <v>110</v>
      </c>
      <c r="H35" s="13" t="s">
        <v>109</v>
      </c>
      <c r="I35" s="11" t="s">
        <v>45</v>
      </c>
      <c r="J35" s="13" t="s">
        <v>111</v>
      </c>
      <c r="K35" s="14" t="s">
        <v>109</v>
      </c>
      <c r="L35" s="13" t="s">
        <v>111</v>
      </c>
      <c r="M35" s="11" t="s">
        <v>77</v>
      </c>
      <c r="N35" s="11" t="s">
        <v>70</v>
      </c>
      <c r="O35" s="11" t="s">
        <v>71</v>
      </c>
      <c r="P35" s="14" t="s">
        <v>108</v>
      </c>
      <c r="Q35">
        <v>13</v>
      </c>
    </row>
    <row r="36" spans="2:17" x14ac:dyDescent="0.25">
      <c r="B36" s="23" t="s">
        <v>78</v>
      </c>
      <c r="C36" s="13" t="s">
        <v>112</v>
      </c>
      <c r="D36" s="12" t="s">
        <v>65</v>
      </c>
      <c r="E36" s="11" t="s">
        <v>66</v>
      </c>
      <c r="F36" s="11" t="s">
        <v>105</v>
      </c>
      <c r="G36" s="14" t="s">
        <v>113</v>
      </c>
      <c r="H36" s="13" t="s">
        <v>112</v>
      </c>
      <c r="I36" s="11" t="s">
        <v>45</v>
      </c>
      <c r="J36" s="13" t="s">
        <v>114</v>
      </c>
      <c r="K36" s="14" t="s">
        <v>112</v>
      </c>
      <c r="L36" s="13" t="s">
        <v>114</v>
      </c>
      <c r="M36" s="11" t="s">
        <v>69</v>
      </c>
      <c r="N36" s="11" t="s">
        <v>70</v>
      </c>
      <c r="O36" s="11" t="s">
        <v>71</v>
      </c>
      <c r="P36" s="14" t="s">
        <v>108</v>
      </c>
      <c r="Q36">
        <v>14</v>
      </c>
    </row>
    <row r="37" spans="2:17" x14ac:dyDescent="0.25">
      <c r="B37" s="23" t="s">
        <v>82</v>
      </c>
      <c r="C37" s="13" t="s">
        <v>115</v>
      </c>
      <c r="D37" s="12" t="s">
        <v>65</v>
      </c>
      <c r="E37" s="11" t="s">
        <v>66</v>
      </c>
      <c r="F37" s="11" t="s">
        <v>105</v>
      </c>
      <c r="G37" s="14" t="s">
        <v>116</v>
      </c>
      <c r="H37" s="13" t="s">
        <v>115</v>
      </c>
      <c r="I37" s="11" t="s">
        <v>45</v>
      </c>
      <c r="J37" s="13" t="s">
        <v>117</v>
      </c>
      <c r="K37" s="14" t="s">
        <v>115</v>
      </c>
      <c r="L37" s="13" t="s">
        <v>117</v>
      </c>
      <c r="M37" s="11" t="s">
        <v>77</v>
      </c>
      <c r="N37" s="11" t="s">
        <v>70</v>
      </c>
      <c r="O37" s="11" t="s">
        <v>71</v>
      </c>
      <c r="P37" s="14" t="s">
        <v>108</v>
      </c>
      <c r="Q37">
        <v>15</v>
      </c>
    </row>
    <row r="38" spans="2:17" x14ac:dyDescent="0.25">
      <c r="B38" s="23" t="s">
        <v>86</v>
      </c>
      <c r="C38" s="13" t="s">
        <v>118</v>
      </c>
      <c r="D38" s="12" t="s">
        <v>65</v>
      </c>
      <c r="E38" s="11" t="s">
        <v>66</v>
      </c>
      <c r="F38" s="11" t="s">
        <v>105</v>
      </c>
      <c r="G38" s="14" t="s">
        <v>119</v>
      </c>
      <c r="H38" s="13" t="s">
        <v>118</v>
      </c>
      <c r="I38" s="11" t="s">
        <v>45</v>
      </c>
      <c r="J38" s="13" t="s">
        <v>120</v>
      </c>
      <c r="K38" s="14" t="s">
        <v>118</v>
      </c>
      <c r="L38" s="13" t="s">
        <v>120</v>
      </c>
      <c r="M38" s="11" t="s">
        <v>69</v>
      </c>
      <c r="N38" s="11" t="s">
        <v>70</v>
      </c>
      <c r="O38" s="11" t="s">
        <v>71</v>
      </c>
      <c r="P38" s="14" t="s">
        <v>108</v>
      </c>
      <c r="Q38">
        <v>16</v>
      </c>
    </row>
    <row r="39" spans="2:17" x14ac:dyDescent="0.25">
      <c r="B39" s="23" t="s">
        <v>90</v>
      </c>
      <c r="C39" s="13" t="s">
        <v>121</v>
      </c>
      <c r="D39" s="12" t="s">
        <v>65</v>
      </c>
      <c r="E39" s="11" t="s">
        <v>66</v>
      </c>
      <c r="F39" s="11" t="s">
        <v>105</v>
      </c>
      <c r="G39" s="14" t="s">
        <v>122</v>
      </c>
      <c r="H39" s="13" t="s">
        <v>121</v>
      </c>
      <c r="I39" s="11" t="s">
        <v>45</v>
      </c>
      <c r="J39" s="13" t="s">
        <v>123</v>
      </c>
      <c r="K39" s="14" t="s">
        <v>121</v>
      </c>
      <c r="L39" s="13" t="s">
        <v>123</v>
      </c>
      <c r="M39" s="11" t="s">
        <v>77</v>
      </c>
      <c r="N39" s="11" t="s">
        <v>70</v>
      </c>
      <c r="O39" s="11" t="s">
        <v>71</v>
      </c>
      <c r="P39" s="14" t="s">
        <v>108</v>
      </c>
      <c r="Q39">
        <v>17</v>
      </c>
    </row>
    <row r="40" spans="2:17" x14ac:dyDescent="0.25">
      <c r="B40" s="23" t="s">
        <v>93</v>
      </c>
      <c r="C40" s="13" t="s">
        <v>124</v>
      </c>
      <c r="D40" s="12" t="s">
        <v>65</v>
      </c>
      <c r="E40" s="11" t="s">
        <v>66</v>
      </c>
      <c r="F40" s="11" t="s">
        <v>105</v>
      </c>
      <c r="G40" s="14" t="s">
        <v>125</v>
      </c>
      <c r="H40" s="13" t="s">
        <v>124</v>
      </c>
      <c r="I40" s="11" t="s">
        <v>45</v>
      </c>
      <c r="J40" s="13" t="s">
        <v>126</v>
      </c>
      <c r="K40" s="14" t="s">
        <v>124</v>
      </c>
      <c r="L40" s="13" t="s">
        <v>126</v>
      </c>
      <c r="M40" s="11" t="s">
        <v>69</v>
      </c>
      <c r="N40" s="11" t="s">
        <v>70</v>
      </c>
      <c r="O40" s="11" t="s">
        <v>71</v>
      </c>
      <c r="P40" s="14" t="s">
        <v>108</v>
      </c>
      <c r="Q40">
        <v>18</v>
      </c>
    </row>
    <row r="41" spans="2:17" ht="14.25" customHeight="1" thickBot="1" x14ac:dyDescent="0.3">
      <c r="B41" s="24" t="s">
        <v>97</v>
      </c>
      <c r="C41" s="13" t="s">
        <v>127</v>
      </c>
      <c r="D41" s="26" t="s">
        <v>65</v>
      </c>
      <c r="E41" s="15" t="s">
        <v>66</v>
      </c>
      <c r="F41" s="15" t="s">
        <v>105</v>
      </c>
      <c r="G41" s="16" t="s">
        <v>128</v>
      </c>
      <c r="H41" s="13" t="s">
        <v>127</v>
      </c>
      <c r="I41" s="15" t="s">
        <v>45</v>
      </c>
      <c r="J41" s="13" t="s">
        <v>129</v>
      </c>
      <c r="K41" s="16" t="s">
        <v>127</v>
      </c>
      <c r="L41" s="13" t="s">
        <v>129</v>
      </c>
      <c r="M41" s="15" t="s">
        <v>77</v>
      </c>
      <c r="N41" s="11" t="s">
        <v>70</v>
      </c>
      <c r="O41" s="15" t="s">
        <v>71</v>
      </c>
      <c r="P41" s="16" t="s">
        <v>108</v>
      </c>
      <c r="Q41">
        <v>19</v>
      </c>
    </row>
    <row r="44" spans="2:17" x14ac:dyDescent="0.25">
      <c r="B44" t="s">
        <v>130</v>
      </c>
    </row>
    <row r="45" spans="2:17" ht="14.25" customHeight="1" thickBot="1" x14ac:dyDescent="0.3"/>
    <row r="46" spans="2:17" x14ac:dyDescent="0.25">
      <c r="B46" s="37"/>
      <c r="C46" s="20" t="s">
        <v>49</v>
      </c>
      <c r="D46" s="21"/>
      <c r="E46" s="21"/>
      <c r="F46" s="21"/>
      <c r="G46" s="22"/>
      <c r="H46" s="20" t="s">
        <v>50</v>
      </c>
      <c r="I46" s="21"/>
      <c r="J46" s="21"/>
      <c r="K46" s="22"/>
    </row>
    <row r="47" spans="2:17" x14ac:dyDescent="0.25">
      <c r="B47" s="38"/>
      <c r="C47" s="17" t="s">
        <v>37</v>
      </c>
      <c r="D47" s="25" t="s">
        <v>52</v>
      </c>
      <c r="E47" s="18" t="s">
        <v>53</v>
      </c>
      <c r="F47" s="18" t="s">
        <v>102</v>
      </c>
      <c r="G47" s="19" t="s">
        <v>54</v>
      </c>
      <c r="H47" s="17" t="s">
        <v>37</v>
      </c>
      <c r="I47" s="18" t="s">
        <v>55</v>
      </c>
      <c r="J47" s="18" t="s">
        <v>56</v>
      </c>
      <c r="K47" s="19" t="s">
        <v>57</v>
      </c>
    </row>
    <row r="48" spans="2:17" x14ac:dyDescent="0.25">
      <c r="B48" s="23" t="s">
        <v>63</v>
      </c>
      <c r="C48" s="13" t="s">
        <v>131</v>
      </c>
      <c r="D48" s="12" t="s">
        <v>65</v>
      </c>
      <c r="E48" s="11" t="s">
        <v>66</v>
      </c>
      <c r="F48" s="11" t="s">
        <v>105</v>
      </c>
      <c r="G48" s="14" t="s">
        <v>132</v>
      </c>
      <c r="H48" s="13" t="s">
        <v>131</v>
      </c>
      <c r="I48" s="11" t="s">
        <v>45</v>
      </c>
      <c r="J48" s="11" t="s">
        <v>107</v>
      </c>
      <c r="K48" s="14" t="s">
        <v>131</v>
      </c>
      <c r="L48" s="10">
        <v>22</v>
      </c>
    </row>
    <row r="49" spans="2:12" x14ac:dyDescent="0.25">
      <c r="B49" s="23" t="s">
        <v>73</v>
      </c>
      <c r="C49" s="13" t="s">
        <v>133</v>
      </c>
      <c r="D49" s="12" t="s">
        <v>65</v>
      </c>
      <c r="E49" s="11" t="s">
        <v>66</v>
      </c>
      <c r="F49" s="11" t="s">
        <v>105</v>
      </c>
      <c r="G49" s="14" t="s">
        <v>134</v>
      </c>
      <c r="H49" s="13" t="s">
        <v>133</v>
      </c>
      <c r="I49" s="11" t="s">
        <v>45</v>
      </c>
      <c r="J49" s="11" t="s">
        <v>111</v>
      </c>
      <c r="K49" s="14" t="s">
        <v>133</v>
      </c>
      <c r="L49" s="10">
        <v>23</v>
      </c>
    </row>
    <row r="50" spans="2:12" x14ac:dyDescent="0.25">
      <c r="B50" s="23" t="s">
        <v>78</v>
      </c>
      <c r="C50" s="13" t="s">
        <v>135</v>
      </c>
      <c r="D50" s="12" t="s">
        <v>65</v>
      </c>
      <c r="E50" s="11" t="s">
        <v>66</v>
      </c>
      <c r="F50" s="11" t="s">
        <v>105</v>
      </c>
      <c r="G50" s="14" t="s">
        <v>136</v>
      </c>
      <c r="H50" s="13" t="s">
        <v>135</v>
      </c>
      <c r="I50" s="11" t="s">
        <v>45</v>
      </c>
      <c r="J50" s="11" t="s">
        <v>114</v>
      </c>
      <c r="K50" s="14" t="s">
        <v>135</v>
      </c>
      <c r="L50" s="10">
        <v>24</v>
      </c>
    </row>
    <row r="51" spans="2:12" x14ac:dyDescent="0.25">
      <c r="B51" s="23" t="s">
        <v>82</v>
      </c>
      <c r="C51" s="13" t="s">
        <v>137</v>
      </c>
      <c r="D51" s="12" t="s">
        <v>65</v>
      </c>
      <c r="E51" s="11" t="s">
        <v>66</v>
      </c>
      <c r="F51" s="11" t="s">
        <v>105</v>
      </c>
      <c r="G51" s="14" t="s">
        <v>138</v>
      </c>
      <c r="H51" s="13" t="s">
        <v>137</v>
      </c>
      <c r="I51" s="11" t="s">
        <v>45</v>
      </c>
      <c r="J51" s="11" t="s">
        <v>117</v>
      </c>
      <c r="K51" s="14" t="s">
        <v>137</v>
      </c>
      <c r="L51" s="10">
        <v>25</v>
      </c>
    </row>
    <row r="52" spans="2:12" x14ac:dyDescent="0.25">
      <c r="B52" s="23" t="s">
        <v>86</v>
      </c>
      <c r="C52" s="13" t="s">
        <v>139</v>
      </c>
      <c r="D52" s="12" t="s">
        <v>65</v>
      </c>
      <c r="E52" s="11" t="s">
        <v>66</v>
      </c>
      <c r="F52" s="11" t="s">
        <v>105</v>
      </c>
      <c r="G52" s="14" t="s">
        <v>140</v>
      </c>
      <c r="H52" s="13" t="s">
        <v>139</v>
      </c>
      <c r="I52" s="11" t="s">
        <v>45</v>
      </c>
      <c r="J52" s="11" t="s">
        <v>120</v>
      </c>
      <c r="K52" s="14" t="s">
        <v>139</v>
      </c>
      <c r="L52" s="10">
        <v>26</v>
      </c>
    </row>
    <row r="53" spans="2:12" x14ac:dyDescent="0.25">
      <c r="B53" s="23" t="s">
        <v>90</v>
      </c>
      <c r="C53" s="13" t="s">
        <v>141</v>
      </c>
      <c r="D53" s="12" t="s">
        <v>65</v>
      </c>
      <c r="E53" s="11" t="s">
        <v>66</v>
      </c>
      <c r="F53" s="11" t="s">
        <v>105</v>
      </c>
      <c r="G53" s="14" t="s">
        <v>142</v>
      </c>
      <c r="H53" s="13" t="s">
        <v>141</v>
      </c>
      <c r="I53" s="11" t="s">
        <v>45</v>
      </c>
      <c r="J53" s="11" t="s">
        <v>123</v>
      </c>
      <c r="K53" s="14" t="s">
        <v>141</v>
      </c>
      <c r="L53" s="10">
        <v>27</v>
      </c>
    </row>
    <row r="54" spans="2:12" x14ac:dyDescent="0.25">
      <c r="B54" s="23" t="s">
        <v>93</v>
      </c>
      <c r="C54" s="13" t="s">
        <v>143</v>
      </c>
      <c r="D54" s="12" t="s">
        <v>65</v>
      </c>
      <c r="E54" s="11" t="s">
        <v>66</v>
      </c>
      <c r="F54" s="11" t="s">
        <v>105</v>
      </c>
      <c r="G54" s="14" t="s">
        <v>144</v>
      </c>
      <c r="H54" s="13" t="s">
        <v>143</v>
      </c>
      <c r="I54" s="11" t="s">
        <v>45</v>
      </c>
      <c r="J54" s="11" t="s">
        <v>126</v>
      </c>
      <c r="K54" s="14" t="s">
        <v>143</v>
      </c>
      <c r="L54" s="10">
        <v>28</v>
      </c>
    </row>
    <row r="55" spans="2:12" ht="14.25" customHeight="1" thickBot="1" x14ac:dyDescent="0.3">
      <c r="B55" s="24" t="s">
        <v>97</v>
      </c>
      <c r="C55" s="13" t="s">
        <v>145</v>
      </c>
      <c r="D55" s="26" t="s">
        <v>65</v>
      </c>
      <c r="E55" s="15" t="s">
        <v>66</v>
      </c>
      <c r="F55" s="15" t="s">
        <v>105</v>
      </c>
      <c r="G55" s="16" t="s">
        <v>146</v>
      </c>
      <c r="H55" s="13" t="s">
        <v>145</v>
      </c>
      <c r="I55" s="15" t="s">
        <v>45</v>
      </c>
      <c r="J55" s="15" t="s">
        <v>129</v>
      </c>
      <c r="K55" s="16" t="s">
        <v>145</v>
      </c>
      <c r="L55" s="10">
        <v>29</v>
      </c>
    </row>
  </sheetData>
  <mergeCells count="3">
    <mergeCell ref="B18:B19"/>
    <mergeCell ref="B46:B47"/>
    <mergeCell ref="B32:B3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>
      <selection activeCell="A25" sqref="A1:A25"/>
    </sheetView>
  </sheetViews>
  <sheetFormatPr defaultRowHeight="13.5" x14ac:dyDescent="0.25"/>
  <cols>
    <col min="1" max="1" width="93.7109375" style="3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147</v>
      </c>
    </row>
    <row r="10" spans="1:1" x14ac:dyDescent="0.25">
      <c r="A10" t="s">
        <v>148</v>
      </c>
    </row>
    <row r="11" spans="1:1" x14ac:dyDescent="0.25">
      <c r="A11" s="4" t="str">
        <f>"          &lt;name&gt;"&amp;'Control-Sheet'!D4&amp;"&lt;/name&gt;"</f>
        <v xml:space="preserve">          &lt;name&gt;1000&lt;/name&gt;</v>
      </c>
    </row>
    <row r="12" spans="1:1" x14ac:dyDescent="0.25">
      <c r="A12" t="s">
        <v>149</v>
      </c>
    </row>
    <row r="13" spans="1:1" x14ac:dyDescent="0.25">
      <c r="A13" s="4" t="str">
        <f>"          &lt;base-interface xmlns="&amp;CHAR(34)&amp;"urn:o-ran:interfaces:1.0"&amp;CHAR(34)&amp;"&gt;"&amp;'Control-Sheet'!D5&amp;"&lt;/base-interface&gt;"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xmlns="&amp;CHAR(34)&amp;"urn:o-ran:interfaces:1.0"&amp;CHAR(34)&amp;"&gt;"&amp;'Control-Sheet'!D6&amp;"&lt;/vlan-id&gt;"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xmlns="&amp;CHAR(34)&amp;"urn:o-ran:interfaces:1.0"&amp;CHAR(34)&amp;"&gt;"&amp;'Control-Sheet'!D7&amp;"&lt;/mac-address&gt;"</f>
        <v xml:space="preserve">          &lt;mac-address xmlns="urn:o-ran:interfaces:1.0"&gt;dc:c1:01:00:05:05&lt;/mac-address&gt;</v>
      </c>
    </row>
    <row r="16" spans="1:1" x14ac:dyDescent="0.25">
      <c r="A16" t="s">
        <v>150</v>
      </c>
    </row>
    <row r="17" spans="1:1" x14ac:dyDescent="0.25">
      <c r="A17" t="s">
        <v>151</v>
      </c>
    </row>
    <row r="18" spans="1:1" x14ac:dyDescent="0.25">
      <c r="A18" t="s">
        <v>152</v>
      </c>
    </row>
    <row r="19" spans="1:1" x14ac:dyDescent="0.25">
      <c r="A19" t="s">
        <v>153</v>
      </c>
    </row>
    <row r="20" spans="1:1" x14ac:dyDescent="0.25">
      <c r="A20" t="s">
        <v>154</v>
      </c>
    </row>
    <row r="21" spans="1:1" x14ac:dyDescent="0.25">
      <c r="A21" t="s">
        <v>33</v>
      </c>
    </row>
    <row r="22" spans="1:1" x14ac:dyDescent="0.25">
      <c r="A22" t="s">
        <v>34</v>
      </c>
    </row>
    <row r="23" spans="1:1" x14ac:dyDescent="0.25">
      <c r="A23" t="s">
        <v>35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workbookViewId="0">
      <selection activeCell="A25" sqref="A1:A25"/>
    </sheetView>
  </sheetViews>
  <sheetFormatPr defaultRowHeight="13.5" x14ac:dyDescent="0.25"/>
  <cols>
    <col min="1" max="1" width="66.7109375" style="3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155</v>
      </c>
    </row>
    <row r="10" spans="1:1" x14ac:dyDescent="0.25">
      <c r="A10" t="s">
        <v>156</v>
      </c>
    </row>
    <row r="11" spans="1:1" x14ac:dyDescent="0.25">
      <c r="A11" t="s">
        <v>157</v>
      </c>
    </row>
    <row r="12" spans="1:1" x14ac:dyDescent="0.25">
      <c r="A12" s="4" t="str">
        <f>"          &lt;name&gt;"&amp;'Control-Sheet'!D12&amp;"&lt;/name&gt;"</f>
        <v xml:space="preserve">          &lt;name&gt;ru-pe.0&lt;/name&gt;</v>
      </c>
    </row>
    <row r="13" spans="1:1" x14ac:dyDescent="0.25">
      <c r="A13" t="s">
        <v>158</v>
      </c>
    </row>
    <row r="14" spans="1:1" x14ac:dyDescent="0.25">
      <c r="A14" s="4" t="str">
        <f>"            &lt;interface-name&gt;"&amp;'Control-Sheet'!D4&amp;"&lt;/interface-name&gt;"</f>
        <v xml:space="preserve">            &lt;interface-name&gt;1000&lt;/interface-name&gt;</v>
      </c>
    </row>
    <row r="15" spans="1:1" x14ac:dyDescent="0.25">
      <c r="A15" t="s">
        <v>159</v>
      </c>
    </row>
    <row r="16" spans="1:1" x14ac:dyDescent="0.25">
      <c r="A16" s="4" t="str">
        <f>"              &lt;ru-mac-address&gt;"&amp;'Control-Sheet'!D7&amp;"&lt;/ru-mac-address&gt;"</f>
        <v xml:space="preserve">              &lt;ru-mac-address&gt;dc:c1:01:00:05:05&lt;/ru-mac-address&gt;</v>
      </c>
    </row>
    <row r="17" spans="1:1" x14ac:dyDescent="0.25">
      <c r="A17" s="4" t="str">
        <f>"              &lt;vlan-id&gt;"&amp;'Control-Sheet'!D6&amp;"&lt;/vlan-id&gt;"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&lt;o-du-mac-address&gt;"&amp;'Control-Sheet'!D13&amp;"&lt;/o-du-mac-address&gt;"</f>
        <v xml:space="preserve">              &lt;o-du-mac-address&gt;00:11:22:33:44:55&lt;/o-du-mac-address&gt;</v>
      </c>
    </row>
    <row r="19" spans="1:1" x14ac:dyDescent="0.25">
      <c r="A19" t="s">
        <v>160</v>
      </c>
    </row>
    <row r="20" spans="1:1" x14ac:dyDescent="0.25">
      <c r="A20" t="s">
        <v>161</v>
      </c>
    </row>
    <row r="21" spans="1:1" x14ac:dyDescent="0.25">
      <c r="A21" t="s">
        <v>162</v>
      </c>
    </row>
    <row r="22" spans="1:1" x14ac:dyDescent="0.25">
      <c r="A22" t="s">
        <v>163</v>
      </c>
    </row>
    <row r="23" spans="1:1" x14ac:dyDescent="0.25">
      <c r="A23" t="s">
        <v>33</v>
      </c>
    </row>
    <row r="24" spans="1:1" x14ac:dyDescent="0.25">
      <c r="A24" t="s">
        <v>34</v>
      </c>
    </row>
    <row r="25" spans="1:1" x14ac:dyDescent="0.25">
      <c r="A25" t="s">
        <v>35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1"/>
  <sheetViews>
    <sheetView topLeftCell="A82" workbookViewId="0">
      <selection activeCell="B138" sqref="B138"/>
    </sheetView>
  </sheetViews>
  <sheetFormatPr defaultRowHeight="13.5" x14ac:dyDescent="0.25"/>
  <cols>
    <col min="1" max="1" width="82.28515625" style="35" bestFit="1" customWidth="1"/>
    <col min="2" max="2" width="79" style="3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2" spans="1:1" x14ac:dyDescent="0.25">
      <c r="A12" s="6" t="s">
        <v>164</v>
      </c>
    </row>
    <row r="13" spans="1:1" x14ac:dyDescent="0.25">
      <c r="A13" s="7" t="str">
        <f>"          &lt;name&gt;"&amp;'Control-Sheet'!$C20&amp;"&lt;/name&gt;"</f>
        <v xml:space="preserve">          &lt;name&gt;llte_0_0_0_1_0_0&lt;/name&gt;</v>
      </c>
    </row>
    <row r="14" spans="1:1" x14ac:dyDescent="0.25">
      <c r="A14" s="6" t="s">
        <v>10</v>
      </c>
    </row>
    <row r="15" spans="1:1" x14ac:dyDescent="0.25">
      <c r="A15" s="6" t="s">
        <v>11</v>
      </c>
    </row>
    <row r="16" spans="1:1" x14ac:dyDescent="0.25">
      <c r="A16" s="6" t="s">
        <v>12</v>
      </c>
    </row>
    <row r="17" spans="1:1" x14ac:dyDescent="0.25">
      <c r="A17" s="6" t="s">
        <v>13</v>
      </c>
    </row>
    <row r="18" spans="1:1" x14ac:dyDescent="0.25">
      <c r="A18" s="6" t="s">
        <v>14</v>
      </c>
    </row>
    <row r="19" spans="1:1" x14ac:dyDescent="0.25">
      <c r="A19" s="6" t="s">
        <v>15</v>
      </c>
    </row>
    <row r="20" spans="1:1" x14ac:dyDescent="0.25">
      <c r="A20" s="6" t="s">
        <v>16</v>
      </c>
    </row>
    <row r="21" spans="1:1" x14ac:dyDescent="0.25">
      <c r="A21" s="6" t="s">
        <v>17</v>
      </c>
    </row>
    <row r="22" spans="1:1" x14ac:dyDescent="0.25">
      <c r="A22" s="9" t="s">
        <v>18</v>
      </c>
    </row>
    <row r="23" spans="1:1" x14ac:dyDescent="0.25">
      <c r="A23" s="6" t="s">
        <v>30</v>
      </c>
    </row>
    <row r="24" spans="1:1" x14ac:dyDescent="0.25">
      <c r="A24" s="7" t="str">
        <f>"            &lt;scs&gt;"&amp;'Control-Sheet'!$D20&amp;"&lt;/scs&gt;"</f>
        <v xml:space="preserve">            &lt;scs&gt;KHZ_15&lt;/scs&gt;</v>
      </c>
    </row>
    <row r="25" spans="1:1" x14ac:dyDescent="0.25">
      <c r="A25" s="8" t="str">
        <f>"            &lt;number-of-prb&gt;"&amp;'Control-Sheet'!$E20&amp;"&lt;/number-of-prb&gt;"</f>
        <v xml:space="preserve">            &lt;number-of-prb&gt;106&lt;/number-of-prb&gt;</v>
      </c>
    </row>
    <row r="26" spans="1:1" x14ac:dyDescent="0.25">
      <c r="A26" s="6" t="s">
        <v>31</v>
      </c>
    </row>
    <row r="27" spans="1:1" x14ac:dyDescent="0.25">
      <c r="A27" s="6" t="s">
        <v>21</v>
      </c>
    </row>
    <row r="28" spans="1:1" x14ac:dyDescent="0.25">
      <c r="A28" s="6" t="s">
        <v>22</v>
      </c>
    </row>
    <row r="29" spans="1:1" x14ac:dyDescent="0.25">
      <c r="A29" s="6" t="s">
        <v>23</v>
      </c>
    </row>
    <row r="30" spans="1:1" x14ac:dyDescent="0.25">
      <c r="A30" s="6" t="s">
        <v>24</v>
      </c>
    </row>
    <row r="31" spans="1:1" x14ac:dyDescent="0.25">
      <c r="A31" s="6" t="s">
        <v>25</v>
      </c>
    </row>
    <row r="32" spans="1:1" x14ac:dyDescent="0.25">
      <c r="A32" s="7" t="str">
        <f>"            &lt;eaxc-id&gt;"&amp;'Control-Sheet'!$F20&amp;"&lt;/eaxc-id&gt;"</f>
        <v xml:space="preserve">            &lt;eaxc-id&gt;2&lt;/eaxc-id&gt;</v>
      </c>
    </row>
    <row r="33" spans="1:1" x14ac:dyDescent="0.25">
      <c r="A33" s="6" t="s">
        <v>26</v>
      </c>
    </row>
    <row r="34" spans="1:1" x14ac:dyDescent="0.25">
      <c r="A34" s="6" t="s">
        <v>165</v>
      </c>
    </row>
    <row r="35" spans="1:1" x14ac:dyDescent="0.25">
      <c r="A35" s="5" t="s">
        <v>166</v>
      </c>
    </row>
    <row r="36" spans="1:1" x14ac:dyDescent="0.25">
      <c r="A36" s="29" t="str">
        <f>"          &lt;name&gt;"&amp;'Control-Sheet'!$K20&amp;"&lt;/name&gt;"</f>
        <v xml:space="preserve">          &lt;name&gt;tac_0_0_0_1&lt;/name&gt;</v>
      </c>
    </row>
    <row r="37" spans="1:1" x14ac:dyDescent="0.25">
      <c r="A37" s="5" t="s">
        <v>167</v>
      </c>
    </row>
    <row r="38" spans="1:1" x14ac:dyDescent="0.25">
      <c r="A38" s="30" t="str">
        <f>"          &lt;center-of-channel-bandwidth&gt;"&amp;'Control-Sheet'!$L20*10^6&amp;"&lt;/center-of-channel-bandwidth&gt;"</f>
        <v xml:space="preserve">          &lt;center-of-channel-bandwidth&gt;3415000000&lt;/center-of-channel-bandwidth&gt;</v>
      </c>
    </row>
    <row r="39" spans="1:1" x14ac:dyDescent="0.25">
      <c r="A39" s="30" t="str">
        <f>"          &lt;channel-bandwidth&gt;"&amp;'Control-Sheet'!$M20*10^6&amp;"&lt;/channel-bandwidth&gt;"</f>
        <v xml:space="preserve">          &lt;channel-bandwidth&gt;10000000&lt;/channel-bandwidth&gt;</v>
      </c>
    </row>
    <row r="40" spans="1:1" x14ac:dyDescent="0.25">
      <c r="A40" s="5" t="s">
        <v>168</v>
      </c>
    </row>
    <row r="41" spans="1:1" x14ac:dyDescent="0.25">
      <c r="A41" s="30" t="str">
        <f>"          &lt;type&gt;"&amp;'Control-Sheet'!$N20&amp;"&lt;/type&gt;"</f>
        <v xml:space="preserve">          &lt;type&gt;NR&lt;/type&gt;</v>
      </c>
    </row>
    <row r="42" spans="1:1" x14ac:dyDescent="0.25">
      <c r="A42" s="5" t="s">
        <v>169</v>
      </c>
    </row>
    <row r="43" spans="1:1" x14ac:dyDescent="0.25">
      <c r="A43" s="5" t="s">
        <v>170</v>
      </c>
    </row>
    <row r="44" spans="1:1" x14ac:dyDescent="0.25">
      <c r="A44" s="30" t="str">
        <f>"          &lt;gain&gt;"&amp;'Control-Sheet'!$O20&amp;"&lt;/gain&gt;"</f>
        <v xml:space="preserve">          &lt;gain&gt;7&lt;/gain&gt;</v>
      </c>
    </row>
    <row r="45" spans="1:1" x14ac:dyDescent="0.25">
      <c r="A45" s="5" t="s">
        <v>171</v>
      </c>
    </row>
    <row r="46" spans="1:1" x14ac:dyDescent="0.25">
      <c r="A46" s="28" t="s">
        <v>172</v>
      </c>
    </row>
    <row r="47" spans="1:1" x14ac:dyDescent="0.25">
      <c r="A47" s="31" t="str">
        <f>"          &lt;name&gt;"&amp;'Control-Sheet'!$G20&amp;"&lt;/name&gt;"</f>
        <v xml:space="preserve">          &lt;name&gt;llte_0_0_0_1_0_0&lt;/name&gt;</v>
      </c>
    </row>
    <row r="48" spans="1:1" x14ac:dyDescent="0.25">
      <c r="A48" s="32" t="str">
        <f>"          &lt;processing-element&gt;"&amp;'Control-Sheet'!$H20&amp;"&lt;/processing-element&gt;"</f>
        <v xml:space="preserve">          &lt;processing-element&gt;ru-pe.0&lt;/processing-element&gt;</v>
      </c>
    </row>
    <row r="49" spans="1:1" x14ac:dyDescent="0.25">
      <c r="A49" s="32" t="str">
        <f>"          &lt;tx-array-carrier&gt;"&amp;'Control-Sheet'!$I20&amp;"&lt;/tx-array-carrier&gt;"</f>
        <v xml:space="preserve">          &lt;tx-array-carrier&gt;tac_0_0_0_1&lt;/tx-array-carrier&gt;</v>
      </c>
    </row>
    <row r="50" spans="1:1" x14ac:dyDescent="0.25">
      <c r="A50" s="32" t="str">
        <f>"          &lt;low-level-tx-endpoint&gt;"&amp;'Control-Sheet'!$J20&amp;"&lt;/low-level-tx-endpoint&gt;"</f>
        <v xml:space="preserve">          &lt;low-level-tx-endpoint&gt;llte_0_0_0_1_0_0&lt;/low-level-tx-endpoint&gt;</v>
      </c>
    </row>
    <row r="51" spans="1:1" x14ac:dyDescent="0.25">
      <c r="A51" s="28" t="s">
        <v>173</v>
      </c>
    </row>
    <row r="54" spans="1:1" x14ac:dyDescent="0.25">
      <c r="A54" s="6" t="s">
        <v>164</v>
      </c>
    </row>
    <row r="55" spans="1:1" x14ac:dyDescent="0.25">
      <c r="A55" s="7" t="str">
        <f>"          &lt;name&gt;"&amp;'Control-Sheet'!$C21&amp;"&lt;/name&gt;"</f>
        <v xml:space="preserve">          &lt;name&gt;llte_0_0_1_1_0_0&lt;/name&gt;</v>
      </c>
    </row>
    <row r="56" spans="1:1" x14ac:dyDescent="0.25">
      <c r="A56" s="6" t="s">
        <v>10</v>
      </c>
    </row>
    <row r="57" spans="1:1" x14ac:dyDescent="0.25">
      <c r="A57" s="6" t="s">
        <v>11</v>
      </c>
    </row>
    <row r="58" spans="1:1" x14ac:dyDescent="0.25">
      <c r="A58" s="6" t="s">
        <v>12</v>
      </c>
    </row>
    <row r="59" spans="1:1" x14ac:dyDescent="0.25">
      <c r="A59" s="6" t="s">
        <v>13</v>
      </c>
    </row>
    <row r="60" spans="1:1" x14ac:dyDescent="0.25">
      <c r="A60" s="6" t="s">
        <v>14</v>
      </c>
    </row>
    <row r="61" spans="1:1" x14ac:dyDescent="0.25">
      <c r="A61" s="6" t="s">
        <v>15</v>
      </c>
    </row>
    <row r="62" spans="1:1" x14ac:dyDescent="0.25">
      <c r="A62" s="6" t="s">
        <v>16</v>
      </c>
    </row>
    <row r="63" spans="1:1" x14ac:dyDescent="0.25">
      <c r="A63" s="6" t="s">
        <v>17</v>
      </c>
    </row>
    <row r="64" spans="1:1" x14ac:dyDescent="0.25">
      <c r="A64" s="9" t="s">
        <v>18</v>
      </c>
    </row>
    <row r="65" spans="1:1" x14ac:dyDescent="0.25">
      <c r="A65" s="6" t="s">
        <v>30</v>
      </c>
    </row>
    <row r="66" spans="1:1" x14ac:dyDescent="0.25">
      <c r="A66" s="7" t="str">
        <f>"            &lt;scs&gt;"&amp;'Control-Sheet'!$D21&amp;"&lt;/scs&gt;"</f>
        <v xml:space="preserve">            &lt;scs&gt;KHZ_15&lt;/scs&gt;</v>
      </c>
    </row>
    <row r="67" spans="1:1" x14ac:dyDescent="0.25">
      <c r="A67" s="8" t="str">
        <f>"            &lt;number-of-prb&gt;"&amp;'Control-Sheet'!$E21&amp;"&lt;/number-of-prb&gt;"</f>
        <v xml:space="preserve">            &lt;number-of-prb&gt;106&lt;/number-of-prb&gt;</v>
      </c>
    </row>
    <row r="68" spans="1:1" x14ac:dyDescent="0.25">
      <c r="A68" s="6" t="s">
        <v>31</v>
      </c>
    </row>
    <row r="69" spans="1:1" x14ac:dyDescent="0.25">
      <c r="A69" s="6" t="s">
        <v>21</v>
      </c>
    </row>
    <row r="70" spans="1:1" x14ac:dyDescent="0.25">
      <c r="A70" s="6" t="s">
        <v>22</v>
      </c>
    </row>
    <row r="71" spans="1:1" x14ac:dyDescent="0.25">
      <c r="A71" s="6" t="s">
        <v>23</v>
      </c>
    </row>
    <row r="72" spans="1:1" x14ac:dyDescent="0.25">
      <c r="A72" s="6" t="s">
        <v>24</v>
      </c>
    </row>
    <row r="73" spans="1:1" x14ac:dyDescent="0.25">
      <c r="A73" s="6" t="s">
        <v>25</v>
      </c>
    </row>
    <row r="74" spans="1:1" x14ac:dyDescent="0.25">
      <c r="A74" s="7" t="str">
        <f>"            &lt;eaxc-id&gt;"&amp;'Control-Sheet'!$F21&amp;"&lt;/eaxc-id&gt;"</f>
        <v xml:space="preserve">            &lt;eaxc-id&gt;3&lt;/eaxc-id&gt;</v>
      </c>
    </row>
    <row r="75" spans="1:1" x14ac:dyDescent="0.25">
      <c r="A75" s="6" t="s">
        <v>26</v>
      </c>
    </row>
    <row r="76" spans="1:1" x14ac:dyDescent="0.25">
      <c r="A76" s="6" t="s">
        <v>165</v>
      </c>
    </row>
    <row r="77" spans="1:1" x14ac:dyDescent="0.25">
      <c r="A77" s="5" t="s">
        <v>166</v>
      </c>
    </row>
    <row r="78" spans="1:1" x14ac:dyDescent="0.25">
      <c r="A78" s="29" t="str">
        <f>"          &lt;name&gt;"&amp;'Control-Sheet'!$K21&amp;"&lt;/name&gt;"</f>
        <v xml:space="preserve">          &lt;name&gt;tac_0_0_1_1&lt;/name&gt;</v>
      </c>
    </row>
    <row r="79" spans="1:1" x14ac:dyDescent="0.25">
      <c r="A79" s="5" t="s">
        <v>167</v>
      </c>
    </row>
    <row r="80" spans="1:1" x14ac:dyDescent="0.25">
      <c r="A80" s="30" t="str">
        <f>"          &lt;center-of-channel-bandwidth&gt;"&amp;'Control-Sheet'!$L21*10^6&amp;"&lt;/center-of-channel-bandwidth&gt;"</f>
        <v xml:space="preserve">          &lt;center-of-channel-bandwidth&gt;3445000000&lt;/center-of-channel-bandwidth&gt;</v>
      </c>
    </row>
    <row r="81" spans="1:1" x14ac:dyDescent="0.25">
      <c r="A81" s="30" t="str">
        <f>"          &lt;channel-bandwidth&gt;"&amp;'Control-Sheet'!$M21*10^6&amp;"&lt;/channel-bandwidth&gt;"</f>
        <v xml:space="preserve">          &lt;channel-bandwidth&gt;10000000&lt;/channel-bandwidth&gt;</v>
      </c>
    </row>
    <row r="82" spans="1:1" x14ac:dyDescent="0.25">
      <c r="A82" s="5" t="s">
        <v>168</v>
      </c>
    </row>
    <row r="83" spans="1:1" x14ac:dyDescent="0.25">
      <c r="A83" s="30" t="str">
        <f>"          &lt;type&gt;"&amp;'Control-Sheet'!$N21&amp;"&lt;/type&gt;"</f>
        <v xml:space="preserve">          &lt;type&gt;NR&lt;/type&gt;</v>
      </c>
    </row>
    <row r="84" spans="1:1" x14ac:dyDescent="0.25">
      <c r="A84" s="5" t="s">
        <v>169</v>
      </c>
    </row>
    <row r="85" spans="1:1" x14ac:dyDescent="0.25">
      <c r="A85" s="5" t="s">
        <v>170</v>
      </c>
    </row>
    <row r="86" spans="1:1" x14ac:dyDescent="0.25">
      <c r="A86" s="30" t="str">
        <f>"          &lt;gain&gt;"&amp;'Control-Sheet'!$O21&amp;"&lt;/gain&gt;"</f>
        <v xml:space="preserve">          &lt;gain&gt;7&lt;/gain&gt;</v>
      </c>
    </row>
    <row r="87" spans="1:1" x14ac:dyDescent="0.25">
      <c r="A87" s="5" t="s">
        <v>171</v>
      </c>
    </row>
    <row r="88" spans="1:1" x14ac:dyDescent="0.25">
      <c r="A88" s="28" t="s">
        <v>172</v>
      </c>
    </row>
    <row r="89" spans="1:1" x14ac:dyDescent="0.25">
      <c r="A89" s="31" t="str">
        <f>"          &lt;name&gt;"&amp;'Control-Sheet'!$G21&amp;"&lt;/name&gt;"</f>
        <v xml:space="preserve">          &lt;name&gt;llte_0_0_1_1_0_0&lt;/name&gt;</v>
      </c>
    </row>
    <row r="90" spans="1:1" x14ac:dyDescent="0.25">
      <c r="A90" s="32" t="str">
        <f>"          &lt;processing-element&gt;"&amp;'Control-Sheet'!$H21&amp;"&lt;/processing-element&gt;"</f>
        <v xml:space="preserve">          &lt;processing-element&gt;ru-pe.0&lt;/processing-element&gt;</v>
      </c>
    </row>
    <row r="91" spans="1:1" x14ac:dyDescent="0.25">
      <c r="A91" s="32" t="str">
        <f>"          &lt;tx-array-carrier&gt;"&amp;'Control-Sheet'!$I21&amp;"&lt;/tx-array-carrier&gt;"</f>
        <v xml:space="preserve">          &lt;tx-array-carrier&gt;tac_0_0_1_1&lt;/tx-array-carrier&gt;</v>
      </c>
    </row>
    <row r="92" spans="1:1" x14ac:dyDescent="0.25">
      <c r="A92" s="32" t="str">
        <f>"          &lt;low-level-tx-endpoint&gt;"&amp;'Control-Sheet'!$J21&amp;"&lt;/low-level-tx-endpoint&gt;"</f>
        <v xml:space="preserve">          &lt;low-level-tx-endpoint&gt;llte_0_0_1_1_0_0&lt;/low-level-tx-endpoint&gt;</v>
      </c>
    </row>
    <row r="93" spans="1:1" x14ac:dyDescent="0.25">
      <c r="A93" s="28" t="s">
        <v>173</v>
      </c>
    </row>
    <row r="96" spans="1:1" x14ac:dyDescent="0.25">
      <c r="A96" s="6" t="s">
        <v>164</v>
      </c>
    </row>
    <row r="97" spans="1:1" x14ac:dyDescent="0.25">
      <c r="A97" s="7" t="str">
        <f>"          &lt;name&gt;"&amp;'Control-Sheet'!$C22&amp;"&lt;/name&gt;"</f>
        <v xml:space="preserve">          &lt;name&gt;llte_0_0_0_2_0_0&lt;/name&gt;</v>
      </c>
    </row>
    <row r="98" spans="1:1" x14ac:dyDescent="0.25">
      <c r="A98" s="6" t="s">
        <v>10</v>
      </c>
    </row>
    <row r="99" spans="1:1" x14ac:dyDescent="0.25">
      <c r="A99" s="6" t="s">
        <v>11</v>
      </c>
    </row>
    <row r="100" spans="1:1" x14ac:dyDescent="0.25">
      <c r="A100" s="6" t="s">
        <v>12</v>
      </c>
    </row>
    <row r="101" spans="1:1" x14ac:dyDescent="0.25">
      <c r="A101" s="6" t="s">
        <v>13</v>
      </c>
    </row>
    <row r="102" spans="1:1" x14ac:dyDescent="0.25">
      <c r="A102" s="6" t="s">
        <v>14</v>
      </c>
    </row>
    <row r="103" spans="1:1" x14ac:dyDescent="0.25">
      <c r="A103" s="6" t="s">
        <v>15</v>
      </c>
    </row>
    <row r="104" spans="1:1" x14ac:dyDescent="0.25">
      <c r="A104" s="6" t="s">
        <v>16</v>
      </c>
    </row>
    <row r="105" spans="1:1" x14ac:dyDescent="0.25">
      <c r="A105" s="6" t="s">
        <v>17</v>
      </c>
    </row>
    <row r="106" spans="1:1" x14ac:dyDescent="0.25">
      <c r="A106" s="9" t="s">
        <v>18</v>
      </c>
    </row>
    <row r="107" spans="1:1" x14ac:dyDescent="0.25">
      <c r="A107" s="6" t="s">
        <v>30</v>
      </c>
    </row>
    <row r="108" spans="1:1" x14ac:dyDescent="0.25">
      <c r="A108" s="7" t="str">
        <f>"            &lt;scs&gt;"&amp;'Control-Sheet'!$D22&amp;"&lt;/scs&gt;"</f>
        <v xml:space="preserve">            &lt;scs&gt;KHZ_15&lt;/scs&gt;</v>
      </c>
    </row>
    <row r="109" spans="1:1" x14ac:dyDescent="0.25">
      <c r="A109" s="8" t="str">
        <f>"            &lt;number-of-prb&gt;"&amp;'Control-Sheet'!$E22&amp;"&lt;/number-of-prb&gt;"</f>
        <v xml:space="preserve">            &lt;number-of-prb&gt;106&lt;/number-of-prb&gt;</v>
      </c>
    </row>
    <row r="110" spans="1:1" x14ac:dyDescent="0.25">
      <c r="A110" s="6" t="s">
        <v>31</v>
      </c>
    </row>
    <row r="111" spans="1:1" x14ac:dyDescent="0.25">
      <c r="A111" s="6" t="s">
        <v>21</v>
      </c>
    </row>
    <row r="112" spans="1:1" x14ac:dyDescent="0.25">
      <c r="A112" s="6" t="s">
        <v>22</v>
      </c>
    </row>
    <row r="113" spans="1:1" x14ac:dyDescent="0.25">
      <c r="A113" s="6" t="s">
        <v>23</v>
      </c>
    </row>
    <row r="114" spans="1:1" x14ac:dyDescent="0.25">
      <c r="A114" s="6" t="s">
        <v>24</v>
      </c>
    </row>
    <row r="115" spans="1:1" x14ac:dyDescent="0.25">
      <c r="A115" s="6" t="s">
        <v>25</v>
      </c>
    </row>
    <row r="116" spans="1:1" x14ac:dyDescent="0.25">
      <c r="A116" s="7" t="str">
        <f>"            &lt;eaxc-id&gt;"&amp;'Control-Sheet'!$F22&amp;"&lt;/eaxc-id&gt;"</f>
        <v xml:space="preserve">            &lt;eaxc-id&gt;4&lt;/eaxc-id&gt;</v>
      </c>
    </row>
    <row r="117" spans="1:1" x14ac:dyDescent="0.25">
      <c r="A117" s="6" t="s">
        <v>26</v>
      </c>
    </row>
    <row r="118" spans="1:1" x14ac:dyDescent="0.25">
      <c r="A118" s="6" t="s">
        <v>165</v>
      </c>
    </row>
    <row r="119" spans="1:1" x14ac:dyDescent="0.25">
      <c r="A119" s="5" t="s">
        <v>166</v>
      </c>
    </row>
    <row r="120" spans="1:1" x14ac:dyDescent="0.25">
      <c r="A120" s="29" t="str">
        <f>"          &lt;name&gt;"&amp;'Control-Sheet'!$K22&amp;"&lt;/name&gt;"</f>
        <v xml:space="preserve">          &lt;name&gt;tac_0_0_0_2&lt;/name&gt;</v>
      </c>
    </row>
    <row r="121" spans="1:1" x14ac:dyDescent="0.25">
      <c r="A121" s="5" t="s">
        <v>167</v>
      </c>
    </row>
    <row r="122" spans="1:1" x14ac:dyDescent="0.25">
      <c r="A122" s="30" t="str">
        <f>"          &lt;center-of-channel-bandwidth&gt;"&amp;'Control-Sheet'!$L22*10^6&amp;"&lt;/center-of-channel-bandwidth&gt;"</f>
        <v xml:space="preserve">          &lt;center-of-channel-bandwidth&gt;3415000000&lt;/center-of-channel-bandwidth&gt;</v>
      </c>
    </row>
    <row r="123" spans="1:1" x14ac:dyDescent="0.25">
      <c r="A123" s="30" t="str">
        <f>"          &lt;channel-bandwidth&gt;"&amp;'Control-Sheet'!$M22*10^6&amp;"&lt;/channel-bandwidth&gt;"</f>
        <v xml:space="preserve">          &lt;channel-bandwidth&gt;10000000&lt;/channel-bandwidth&gt;</v>
      </c>
    </row>
    <row r="124" spans="1:1" x14ac:dyDescent="0.25">
      <c r="A124" s="5" t="s">
        <v>168</v>
      </c>
    </row>
    <row r="125" spans="1:1" x14ac:dyDescent="0.25">
      <c r="A125" s="30" t="str">
        <f>"          &lt;type&gt;"&amp;'Control-Sheet'!$N22&amp;"&lt;/type&gt;"</f>
        <v xml:space="preserve">          &lt;type&gt;NR&lt;/type&gt;</v>
      </c>
    </row>
    <row r="126" spans="1:1" x14ac:dyDescent="0.25">
      <c r="A126" s="5" t="s">
        <v>169</v>
      </c>
    </row>
    <row r="127" spans="1:1" x14ac:dyDescent="0.25">
      <c r="A127" s="5" t="s">
        <v>170</v>
      </c>
    </row>
    <row r="128" spans="1:1" x14ac:dyDescent="0.25">
      <c r="A128" s="30" t="str">
        <f>"          &lt;gain&gt;"&amp;'Control-Sheet'!$O22&amp;"&lt;/gain&gt;"</f>
        <v xml:space="preserve">          &lt;gain&gt;7&lt;/gain&gt;</v>
      </c>
    </row>
    <row r="129" spans="1:1" x14ac:dyDescent="0.25">
      <c r="A129" s="5" t="s">
        <v>171</v>
      </c>
    </row>
    <row r="130" spans="1:1" x14ac:dyDescent="0.25">
      <c r="A130" s="28" t="s">
        <v>172</v>
      </c>
    </row>
    <row r="131" spans="1:1" x14ac:dyDescent="0.25">
      <c r="A131" s="31" t="str">
        <f>"          &lt;name&gt;"&amp;'Control-Sheet'!$G22&amp;"&lt;/name&gt;"</f>
        <v xml:space="preserve">          &lt;name&gt;llte_0_0_0_2_0_0&lt;/name&gt;</v>
      </c>
    </row>
    <row r="132" spans="1:1" x14ac:dyDescent="0.25">
      <c r="A132" s="32" t="str">
        <f>"          &lt;processing-element&gt;"&amp;'Control-Sheet'!$H22&amp;"&lt;/processing-element&gt;"</f>
        <v xml:space="preserve">          &lt;processing-element&gt;ru-pe.0&lt;/processing-element&gt;</v>
      </c>
    </row>
    <row r="133" spans="1:1" x14ac:dyDescent="0.25">
      <c r="A133" s="32" t="str">
        <f>"          &lt;tx-array-carrier&gt;"&amp;'Control-Sheet'!$I22&amp;"&lt;/tx-array-carrier&gt;"</f>
        <v xml:space="preserve">          &lt;tx-array-carrier&gt;tac_0_0_0_2&lt;/tx-array-carrier&gt;</v>
      </c>
    </row>
    <row r="134" spans="1:1" x14ac:dyDescent="0.25">
      <c r="A134" s="32" t="str">
        <f>"          &lt;low-level-tx-endpoint&gt;"&amp;'Control-Sheet'!$J22&amp;"&lt;/low-level-tx-endpoint&gt;"</f>
        <v xml:space="preserve">          &lt;low-level-tx-endpoint&gt;llte_0_0_0_2_0_0&lt;/low-level-tx-endpoint&gt;</v>
      </c>
    </row>
    <row r="135" spans="1:1" x14ac:dyDescent="0.25">
      <c r="A135" s="28" t="s">
        <v>173</v>
      </c>
    </row>
    <row r="138" spans="1:1" x14ac:dyDescent="0.25">
      <c r="A138" s="6" t="s">
        <v>164</v>
      </c>
    </row>
    <row r="139" spans="1:1" x14ac:dyDescent="0.25">
      <c r="A139" s="7" t="str">
        <f>"          &lt;name&gt;"&amp;'Control-Sheet'!$C23&amp;"&lt;/name&gt;"</f>
        <v xml:space="preserve">          &lt;name&gt;llte_0_0_1_2_0_0&lt;/name&gt;</v>
      </c>
    </row>
    <row r="140" spans="1:1" x14ac:dyDescent="0.25">
      <c r="A140" s="6" t="s">
        <v>10</v>
      </c>
    </row>
    <row r="141" spans="1:1" x14ac:dyDescent="0.25">
      <c r="A141" s="6" t="s">
        <v>11</v>
      </c>
    </row>
    <row r="142" spans="1:1" x14ac:dyDescent="0.25">
      <c r="A142" s="6" t="s">
        <v>12</v>
      </c>
    </row>
    <row r="143" spans="1:1" x14ac:dyDescent="0.25">
      <c r="A143" s="6" t="s">
        <v>13</v>
      </c>
    </row>
    <row r="144" spans="1:1" x14ac:dyDescent="0.25">
      <c r="A144" s="6" t="s">
        <v>14</v>
      </c>
    </row>
    <row r="145" spans="1:1" x14ac:dyDescent="0.25">
      <c r="A145" s="6" t="s">
        <v>15</v>
      </c>
    </row>
    <row r="146" spans="1:1" x14ac:dyDescent="0.25">
      <c r="A146" s="6" t="s">
        <v>16</v>
      </c>
    </row>
    <row r="147" spans="1:1" x14ac:dyDescent="0.25">
      <c r="A147" s="6" t="s">
        <v>17</v>
      </c>
    </row>
    <row r="148" spans="1:1" x14ac:dyDescent="0.25">
      <c r="A148" s="9" t="s">
        <v>18</v>
      </c>
    </row>
    <row r="149" spans="1:1" x14ac:dyDescent="0.25">
      <c r="A149" s="6" t="s">
        <v>30</v>
      </c>
    </row>
    <row r="150" spans="1:1" x14ac:dyDescent="0.25">
      <c r="A150" s="7" t="str">
        <f>"            &lt;scs&gt;"&amp;'Control-Sheet'!$D23&amp;"&lt;/scs&gt;"</f>
        <v xml:space="preserve">            &lt;scs&gt;KHZ_15&lt;/scs&gt;</v>
      </c>
    </row>
    <row r="151" spans="1:1" x14ac:dyDescent="0.25">
      <c r="A151" s="8" t="str">
        <f>"            &lt;number-of-prb&gt;"&amp;'Control-Sheet'!$E23&amp;"&lt;/number-of-prb&gt;"</f>
        <v xml:space="preserve">            &lt;number-of-prb&gt;106&lt;/number-of-prb&gt;</v>
      </c>
    </row>
    <row r="152" spans="1:1" x14ac:dyDescent="0.25">
      <c r="A152" s="6" t="s">
        <v>31</v>
      </c>
    </row>
    <row r="153" spans="1:1" x14ac:dyDescent="0.25">
      <c r="A153" s="6" t="s">
        <v>21</v>
      </c>
    </row>
    <row r="154" spans="1:1" x14ac:dyDescent="0.25">
      <c r="A154" s="6" t="s">
        <v>22</v>
      </c>
    </row>
    <row r="155" spans="1:1" x14ac:dyDescent="0.25">
      <c r="A155" s="6" t="s">
        <v>23</v>
      </c>
    </row>
    <row r="156" spans="1:1" x14ac:dyDescent="0.25">
      <c r="A156" s="6" t="s">
        <v>24</v>
      </c>
    </row>
    <row r="157" spans="1:1" x14ac:dyDescent="0.25">
      <c r="A157" s="6" t="s">
        <v>25</v>
      </c>
    </row>
    <row r="158" spans="1:1" x14ac:dyDescent="0.25">
      <c r="A158" s="7" t="str">
        <f>"            &lt;eaxc-id&gt;"&amp;'Control-Sheet'!$F23&amp;"&lt;/eaxc-id&gt;"</f>
        <v xml:space="preserve">            &lt;eaxc-id&gt;5&lt;/eaxc-id&gt;</v>
      </c>
    </row>
    <row r="159" spans="1:1" x14ac:dyDescent="0.25">
      <c r="A159" s="6" t="s">
        <v>26</v>
      </c>
    </row>
    <row r="160" spans="1:1" x14ac:dyDescent="0.25">
      <c r="A160" s="6" t="s">
        <v>165</v>
      </c>
    </row>
    <row r="161" spans="1:1" x14ac:dyDescent="0.25">
      <c r="A161" s="5" t="s">
        <v>166</v>
      </c>
    </row>
    <row r="162" spans="1:1" x14ac:dyDescent="0.25">
      <c r="A162" s="29" t="str">
        <f>"          &lt;name&gt;"&amp;'Control-Sheet'!$K23&amp;"&lt;/name&gt;"</f>
        <v xml:space="preserve">          &lt;name&gt;tac_0_0_1_2&lt;/name&gt;</v>
      </c>
    </row>
    <row r="163" spans="1:1" x14ac:dyDescent="0.25">
      <c r="A163" s="5" t="s">
        <v>167</v>
      </c>
    </row>
    <row r="164" spans="1:1" x14ac:dyDescent="0.25">
      <c r="A164" s="30" t="str">
        <f>"          &lt;center-of-channel-bandwidth&gt;"&amp;'Control-Sheet'!$L23*10^6&amp;"&lt;/center-of-channel-bandwidth&gt;"</f>
        <v xml:space="preserve">          &lt;center-of-channel-bandwidth&gt;3445000000&lt;/center-of-channel-bandwidth&gt;</v>
      </c>
    </row>
    <row r="165" spans="1:1" x14ac:dyDescent="0.25">
      <c r="A165" s="30" t="str">
        <f>"          &lt;channel-bandwidth&gt;"&amp;'Control-Sheet'!$M23*10^6&amp;"&lt;/channel-bandwidth&gt;"</f>
        <v xml:space="preserve">          &lt;channel-bandwidth&gt;10000000&lt;/channel-bandwidth&gt;</v>
      </c>
    </row>
    <row r="166" spans="1:1" x14ac:dyDescent="0.25">
      <c r="A166" s="5" t="s">
        <v>168</v>
      </c>
    </row>
    <row r="167" spans="1:1" x14ac:dyDescent="0.25">
      <c r="A167" s="30" t="str">
        <f>"          &lt;type&gt;"&amp;'Control-Sheet'!$N23&amp;"&lt;/type&gt;"</f>
        <v xml:space="preserve">          &lt;type&gt;NR&lt;/type&gt;</v>
      </c>
    </row>
    <row r="168" spans="1:1" x14ac:dyDescent="0.25">
      <c r="A168" s="5" t="s">
        <v>169</v>
      </c>
    </row>
    <row r="169" spans="1:1" x14ac:dyDescent="0.25">
      <c r="A169" s="5" t="s">
        <v>170</v>
      </c>
    </row>
    <row r="170" spans="1:1" x14ac:dyDescent="0.25">
      <c r="A170" s="30" t="str">
        <f>"          &lt;gain&gt;"&amp;'Control-Sheet'!$O23&amp;"&lt;/gain&gt;"</f>
        <v xml:space="preserve">          &lt;gain&gt;7&lt;/gain&gt;</v>
      </c>
    </row>
    <row r="171" spans="1:1" x14ac:dyDescent="0.25">
      <c r="A171" s="5" t="s">
        <v>171</v>
      </c>
    </row>
    <row r="172" spans="1:1" x14ac:dyDescent="0.25">
      <c r="A172" s="28" t="s">
        <v>172</v>
      </c>
    </row>
    <row r="173" spans="1:1" x14ac:dyDescent="0.25">
      <c r="A173" s="31" t="str">
        <f>"          &lt;name&gt;"&amp;'Control-Sheet'!$G23&amp;"&lt;/name&gt;"</f>
        <v xml:space="preserve">          &lt;name&gt;llte_0_0_1_2_0_0&lt;/name&gt;</v>
      </c>
    </row>
    <row r="174" spans="1:1" x14ac:dyDescent="0.25">
      <c r="A174" s="32" t="str">
        <f>"          &lt;processing-element&gt;"&amp;'Control-Sheet'!$H23&amp;"&lt;/processing-element&gt;"</f>
        <v xml:space="preserve">          &lt;processing-element&gt;ru-pe.0&lt;/processing-element&gt;</v>
      </c>
    </row>
    <row r="175" spans="1:1" x14ac:dyDescent="0.25">
      <c r="A175" s="32" t="str">
        <f>"          &lt;tx-array-carrier&gt;"&amp;'Control-Sheet'!$I23&amp;"&lt;/tx-array-carrier&gt;"</f>
        <v xml:space="preserve">          &lt;tx-array-carrier&gt;tac_0_0_1_2&lt;/tx-array-carrier&gt;</v>
      </c>
    </row>
    <row r="176" spans="1:1" x14ac:dyDescent="0.25">
      <c r="A176" s="32" t="str">
        <f>"          &lt;low-level-tx-endpoint&gt;"&amp;'Control-Sheet'!$J23&amp;"&lt;/low-level-tx-endpoint&gt;"</f>
        <v xml:space="preserve">          &lt;low-level-tx-endpoint&gt;llte_0_0_1_2_0_0&lt;/low-level-tx-endpoint&gt;</v>
      </c>
    </row>
    <row r="177" spans="1:1" x14ac:dyDescent="0.25">
      <c r="A177" s="28" t="s">
        <v>173</v>
      </c>
    </row>
    <row r="180" spans="1:1" x14ac:dyDescent="0.25">
      <c r="A180" s="6" t="s">
        <v>164</v>
      </c>
    </row>
    <row r="181" spans="1:1" x14ac:dyDescent="0.25">
      <c r="A181" s="7" t="str">
        <f>"          &lt;name&gt;"&amp;'Control-Sheet'!$C24&amp;"&lt;/name&gt;"</f>
        <v xml:space="preserve">          &lt;name&gt;llte_0_0_0_3_0_0&lt;/name&gt;</v>
      </c>
    </row>
    <row r="182" spans="1:1" x14ac:dyDescent="0.25">
      <c r="A182" s="6" t="s">
        <v>10</v>
      </c>
    </row>
    <row r="183" spans="1:1" x14ac:dyDescent="0.25">
      <c r="A183" s="6" t="s">
        <v>11</v>
      </c>
    </row>
    <row r="184" spans="1:1" x14ac:dyDescent="0.25">
      <c r="A184" s="6" t="s">
        <v>12</v>
      </c>
    </row>
    <row r="185" spans="1:1" x14ac:dyDescent="0.25">
      <c r="A185" s="6" t="s">
        <v>13</v>
      </c>
    </row>
    <row r="186" spans="1:1" x14ac:dyDescent="0.25">
      <c r="A186" s="6" t="s">
        <v>14</v>
      </c>
    </row>
    <row r="187" spans="1:1" x14ac:dyDescent="0.25">
      <c r="A187" s="6" t="s">
        <v>15</v>
      </c>
    </row>
    <row r="188" spans="1:1" x14ac:dyDescent="0.25">
      <c r="A188" s="6" t="s">
        <v>16</v>
      </c>
    </row>
    <row r="189" spans="1:1" x14ac:dyDescent="0.25">
      <c r="A189" s="6" t="s">
        <v>17</v>
      </c>
    </row>
    <row r="190" spans="1:1" x14ac:dyDescent="0.25">
      <c r="A190" s="9" t="s">
        <v>18</v>
      </c>
    </row>
    <row r="191" spans="1:1" x14ac:dyDescent="0.25">
      <c r="A191" s="6" t="s">
        <v>30</v>
      </c>
    </row>
    <row r="192" spans="1:1" x14ac:dyDescent="0.25">
      <c r="A192" s="7" t="str">
        <f>"            &lt;scs&gt;"&amp;'Control-Sheet'!$D24&amp;"&lt;/scs&gt;"</f>
        <v xml:space="preserve">            &lt;scs&gt;KHZ_15&lt;/scs&gt;</v>
      </c>
    </row>
    <row r="193" spans="1:1" x14ac:dyDescent="0.25">
      <c r="A193" s="8" t="str">
        <f>"            &lt;number-of-prb&gt;"&amp;'Control-Sheet'!$E24&amp;"&lt;/number-of-prb&gt;"</f>
        <v xml:space="preserve">            &lt;number-of-prb&gt;106&lt;/number-of-prb&gt;</v>
      </c>
    </row>
    <row r="194" spans="1:1" x14ac:dyDescent="0.25">
      <c r="A194" s="6" t="s">
        <v>31</v>
      </c>
    </row>
    <row r="195" spans="1:1" x14ac:dyDescent="0.25">
      <c r="A195" s="6" t="s">
        <v>21</v>
      </c>
    </row>
    <row r="196" spans="1:1" x14ac:dyDescent="0.25">
      <c r="A196" s="6" t="s">
        <v>22</v>
      </c>
    </row>
    <row r="197" spans="1:1" x14ac:dyDescent="0.25">
      <c r="A197" s="6" t="s">
        <v>23</v>
      </c>
    </row>
    <row r="198" spans="1:1" x14ac:dyDescent="0.25">
      <c r="A198" s="6" t="s">
        <v>24</v>
      </c>
    </row>
    <row r="199" spans="1:1" x14ac:dyDescent="0.25">
      <c r="A199" s="6" t="s">
        <v>25</v>
      </c>
    </row>
    <row r="200" spans="1:1" x14ac:dyDescent="0.25">
      <c r="A200" s="7" t="str">
        <f>"            &lt;eaxc-id&gt;"&amp;'Control-Sheet'!$F24&amp;"&lt;/eaxc-id&gt;"</f>
        <v xml:space="preserve">            &lt;eaxc-id&gt;6&lt;/eaxc-id&gt;</v>
      </c>
    </row>
    <row r="201" spans="1:1" x14ac:dyDescent="0.25">
      <c r="A201" s="6" t="s">
        <v>26</v>
      </c>
    </row>
    <row r="202" spans="1:1" x14ac:dyDescent="0.25">
      <c r="A202" s="6" t="s">
        <v>165</v>
      </c>
    </row>
    <row r="203" spans="1:1" x14ac:dyDescent="0.25">
      <c r="A203" s="5" t="s">
        <v>166</v>
      </c>
    </row>
    <row r="204" spans="1:1" x14ac:dyDescent="0.25">
      <c r="A204" s="29" t="str">
        <f>"          &lt;name&gt;"&amp;'Control-Sheet'!$K24&amp;"&lt;/name&gt;"</f>
        <v xml:space="preserve">          &lt;name&gt;tac_0_0_0_3&lt;/name&gt;</v>
      </c>
    </row>
    <row r="205" spans="1:1" x14ac:dyDescent="0.25">
      <c r="A205" s="5" t="s">
        <v>167</v>
      </c>
    </row>
    <row r="206" spans="1:1" x14ac:dyDescent="0.25">
      <c r="A206" s="30" t="str">
        <f>"          &lt;center-of-channel-bandwidth&gt;"&amp;'Control-Sheet'!$L24*10^6&amp;"&lt;/center-of-channel-bandwidth&gt;"</f>
        <v xml:space="preserve">          &lt;center-of-channel-bandwidth&gt;3415000000&lt;/center-of-channel-bandwidth&gt;</v>
      </c>
    </row>
    <row r="207" spans="1:1" x14ac:dyDescent="0.25">
      <c r="A207" s="30" t="str">
        <f>"          &lt;channel-bandwidth&gt;"&amp;'Control-Sheet'!$M24*10^6&amp;"&lt;/channel-bandwidth&gt;"</f>
        <v xml:space="preserve">          &lt;channel-bandwidth&gt;10000000&lt;/channel-bandwidth&gt;</v>
      </c>
    </row>
    <row r="208" spans="1:1" x14ac:dyDescent="0.25">
      <c r="A208" s="5" t="s">
        <v>168</v>
      </c>
    </row>
    <row r="209" spans="1:1" x14ac:dyDescent="0.25">
      <c r="A209" s="30" t="str">
        <f>"          &lt;type&gt;"&amp;'Control-Sheet'!$N24&amp;"&lt;/type&gt;"</f>
        <v xml:space="preserve">          &lt;type&gt;NR&lt;/type&gt;</v>
      </c>
    </row>
    <row r="210" spans="1:1" x14ac:dyDescent="0.25">
      <c r="A210" s="5" t="s">
        <v>169</v>
      </c>
    </row>
    <row r="211" spans="1:1" x14ac:dyDescent="0.25">
      <c r="A211" s="5" t="s">
        <v>170</v>
      </c>
    </row>
    <row r="212" spans="1:1" x14ac:dyDescent="0.25">
      <c r="A212" s="30" t="str">
        <f>"          &lt;gain&gt;"&amp;'Control-Sheet'!$O24&amp;"&lt;/gain&gt;"</f>
        <v xml:space="preserve">          &lt;gain&gt;7&lt;/gain&gt;</v>
      </c>
    </row>
    <row r="213" spans="1:1" x14ac:dyDescent="0.25">
      <c r="A213" s="5" t="s">
        <v>171</v>
      </c>
    </row>
    <row r="214" spans="1:1" x14ac:dyDescent="0.25">
      <c r="A214" s="28" t="s">
        <v>172</v>
      </c>
    </row>
    <row r="215" spans="1:1" x14ac:dyDescent="0.25">
      <c r="A215" s="31" t="str">
        <f>"          &lt;name&gt;"&amp;'Control-Sheet'!$G24&amp;"&lt;/name&gt;"</f>
        <v xml:space="preserve">          &lt;name&gt;llte_0_0_0_3_0_0&lt;/name&gt;</v>
      </c>
    </row>
    <row r="216" spans="1:1" x14ac:dyDescent="0.25">
      <c r="A216" s="32" t="str">
        <f>"          &lt;processing-element&gt;"&amp;'Control-Sheet'!$H24&amp;"&lt;/processing-element&gt;"</f>
        <v xml:space="preserve">          &lt;processing-element&gt;ru-pe.0&lt;/processing-element&gt;</v>
      </c>
    </row>
    <row r="217" spans="1:1" x14ac:dyDescent="0.25">
      <c r="A217" s="32" t="str">
        <f>"          &lt;tx-array-carrier&gt;"&amp;'Control-Sheet'!$I24&amp;"&lt;/tx-array-carrier&gt;"</f>
        <v xml:space="preserve">          &lt;tx-array-carrier&gt;tac_0_0_0_3&lt;/tx-array-carrier&gt;</v>
      </c>
    </row>
    <row r="218" spans="1:1" x14ac:dyDescent="0.25">
      <c r="A218" s="32" t="str">
        <f>"          &lt;low-level-tx-endpoint&gt;"&amp;'Control-Sheet'!$J24&amp;"&lt;/low-level-tx-endpoint&gt;"</f>
        <v xml:space="preserve">          &lt;low-level-tx-endpoint&gt;llte_0_0_0_3_0_0&lt;/low-level-tx-endpoint&gt;</v>
      </c>
    </row>
    <row r="219" spans="1:1" x14ac:dyDescent="0.25">
      <c r="A219" s="28" t="s">
        <v>173</v>
      </c>
    </row>
    <row r="222" spans="1:1" x14ac:dyDescent="0.25">
      <c r="A222" s="6" t="s">
        <v>164</v>
      </c>
    </row>
    <row r="223" spans="1:1" x14ac:dyDescent="0.25">
      <c r="A223" s="7" t="str">
        <f>"          &lt;name&gt;"&amp;'Control-Sheet'!$C25&amp;"&lt;/name&gt;"</f>
        <v xml:space="preserve">          &lt;name&gt;llte_0_0_1_3_0_0&lt;/name&gt;</v>
      </c>
    </row>
    <row r="224" spans="1:1" x14ac:dyDescent="0.25">
      <c r="A224" s="6" t="s">
        <v>10</v>
      </c>
    </row>
    <row r="225" spans="1:1" x14ac:dyDescent="0.25">
      <c r="A225" s="6" t="s">
        <v>11</v>
      </c>
    </row>
    <row r="226" spans="1:1" x14ac:dyDescent="0.25">
      <c r="A226" s="6" t="s">
        <v>12</v>
      </c>
    </row>
    <row r="227" spans="1:1" x14ac:dyDescent="0.25">
      <c r="A227" s="6" t="s">
        <v>13</v>
      </c>
    </row>
    <row r="228" spans="1:1" x14ac:dyDescent="0.25">
      <c r="A228" s="6" t="s">
        <v>14</v>
      </c>
    </row>
    <row r="229" spans="1:1" x14ac:dyDescent="0.25">
      <c r="A229" s="6" t="s">
        <v>15</v>
      </c>
    </row>
    <row r="230" spans="1:1" x14ac:dyDescent="0.25">
      <c r="A230" s="6" t="s">
        <v>16</v>
      </c>
    </row>
    <row r="231" spans="1:1" x14ac:dyDescent="0.25">
      <c r="A231" s="6" t="s">
        <v>17</v>
      </c>
    </row>
    <row r="232" spans="1:1" x14ac:dyDescent="0.25">
      <c r="A232" s="9" t="s">
        <v>18</v>
      </c>
    </row>
    <row r="233" spans="1:1" x14ac:dyDescent="0.25">
      <c r="A233" s="6" t="s">
        <v>30</v>
      </c>
    </row>
    <row r="234" spans="1:1" x14ac:dyDescent="0.25">
      <c r="A234" s="7" t="str">
        <f>"            &lt;scs&gt;"&amp;'Control-Sheet'!$D25&amp;"&lt;/scs&gt;"</f>
        <v xml:space="preserve">            &lt;scs&gt;KHZ_15&lt;/scs&gt;</v>
      </c>
    </row>
    <row r="235" spans="1:1" x14ac:dyDescent="0.25">
      <c r="A235" s="8" t="str">
        <f>"            &lt;number-of-prb&gt;"&amp;'Control-Sheet'!$E25&amp;"&lt;/number-of-prb&gt;"</f>
        <v xml:space="preserve">            &lt;number-of-prb&gt;106&lt;/number-of-prb&gt;</v>
      </c>
    </row>
    <row r="236" spans="1:1" x14ac:dyDescent="0.25">
      <c r="A236" s="6" t="s">
        <v>31</v>
      </c>
    </row>
    <row r="237" spans="1:1" x14ac:dyDescent="0.25">
      <c r="A237" s="6" t="s">
        <v>21</v>
      </c>
    </row>
    <row r="238" spans="1:1" x14ac:dyDescent="0.25">
      <c r="A238" s="6" t="s">
        <v>22</v>
      </c>
    </row>
    <row r="239" spans="1:1" x14ac:dyDescent="0.25">
      <c r="A239" s="6" t="s">
        <v>23</v>
      </c>
    </row>
    <row r="240" spans="1:1" x14ac:dyDescent="0.25">
      <c r="A240" s="6" t="s">
        <v>24</v>
      </c>
    </row>
    <row r="241" spans="1:1" x14ac:dyDescent="0.25">
      <c r="A241" s="6" t="s">
        <v>25</v>
      </c>
    </row>
    <row r="242" spans="1:1" x14ac:dyDescent="0.25">
      <c r="A242" s="7" t="str">
        <f>"            &lt;eaxc-id&gt;"&amp;'Control-Sheet'!$F25&amp;"&lt;/eaxc-id&gt;"</f>
        <v xml:space="preserve">            &lt;eaxc-id&gt;7&lt;/eaxc-id&gt;</v>
      </c>
    </row>
    <row r="243" spans="1:1" x14ac:dyDescent="0.25">
      <c r="A243" s="6" t="s">
        <v>26</v>
      </c>
    </row>
    <row r="244" spans="1:1" x14ac:dyDescent="0.25">
      <c r="A244" s="6" t="s">
        <v>165</v>
      </c>
    </row>
    <row r="245" spans="1:1" x14ac:dyDescent="0.25">
      <c r="A245" s="5" t="s">
        <v>166</v>
      </c>
    </row>
    <row r="246" spans="1:1" x14ac:dyDescent="0.25">
      <c r="A246" s="29" t="str">
        <f>"          &lt;name&gt;"&amp;'Control-Sheet'!$K25&amp;"&lt;/name&gt;"</f>
        <v xml:space="preserve">          &lt;name&gt;tac_0_0_1_3&lt;/name&gt;</v>
      </c>
    </row>
    <row r="247" spans="1:1" x14ac:dyDescent="0.25">
      <c r="A247" s="5" t="s">
        <v>167</v>
      </c>
    </row>
    <row r="248" spans="1:1" x14ac:dyDescent="0.25">
      <c r="A248" s="30" t="str">
        <f>"          &lt;center-of-channel-bandwidth&gt;"&amp;'Control-Sheet'!$L25*10^6&amp;"&lt;/center-of-channel-bandwidth&gt;"</f>
        <v xml:space="preserve">          &lt;center-of-channel-bandwidth&gt;3445000000&lt;/center-of-channel-bandwidth&gt;</v>
      </c>
    </row>
    <row r="249" spans="1:1" x14ac:dyDescent="0.25">
      <c r="A249" s="30" t="str">
        <f>"          &lt;channel-bandwidth&gt;"&amp;'Control-Sheet'!$M25*10^6&amp;"&lt;/channel-bandwidth&gt;"</f>
        <v xml:space="preserve">          &lt;channel-bandwidth&gt;10000000&lt;/channel-bandwidth&gt;</v>
      </c>
    </row>
    <row r="250" spans="1:1" x14ac:dyDescent="0.25">
      <c r="A250" s="5" t="s">
        <v>168</v>
      </c>
    </row>
    <row r="251" spans="1:1" x14ac:dyDescent="0.25">
      <c r="A251" s="30" t="str">
        <f>"          &lt;type&gt;"&amp;'Control-Sheet'!$N25&amp;"&lt;/type&gt;"</f>
        <v xml:space="preserve">          &lt;type&gt;NR&lt;/type&gt;</v>
      </c>
    </row>
    <row r="252" spans="1:1" x14ac:dyDescent="0.25">
      <c r="A252" s="5" t="s">
        <v>169</v>
      </c>
    </row>
    <row r="253" spans="1:1" x14ac:dyDescent="0.25">
      <c r="A253" s="5" t="s">
        <v>170</v>
      </c>
    </row>
    <row r="254" spans="1:1" x14ac:dyDescent="0.25">
      <c r="A254" s="30" t="str">
        <f>"          &lt;gain&gt;"&amp;'Control-Sheet'!$O25&amp;"&lt;/gain&gt;"</f>
        <v xml:space="preserve">          &lt;gain&gt;7&lt;/gain&gt;</v>
      </c>
    </row>
    <row r="255" spans="1:1" x14ac:dyDescent="0.25">
      <c r="A255" s="5" t="s">
        <v>171</v>
      </c>
    </row>
    <row r="256" spans="1:1" x14ac:dyDescent="0.25">
      <c r="A256" s="28" t="s">
        <v>172</v>
      </c>
    </row>
    <row r="257" spans="1:1" x14ac:dyDescent="0.25">
      <c r="A257" s="31" t="str">
        <f>"          &lt;name&gt;"&amp;'Control-Sheet'!$G25&amp;"&lt;/name&gt;"</f>
        <v xml:space="preserve">          &lt;name&gt;llte_0_0_1_3_0_0&lt;/name&gt;</v>
      </c>
    </row>
    <row r="258" spans="1:1" x14ac:dyDescent="0.25">
      <c r="A258" s="32" t="str">
        <f>"          &lt;processing-element&gt;"&amp;'Control-Sheet'!$H25&amp;"&lt;/processing-element&gt;"</f>
        <v xml:space="preserve">          &lt;processing-element&gt;ru-pe.0&lt;/processing-element&gt;</v>
      </c>
    </row>
    <row r="259" spans="1:1" x14ac:dyDescent="0.25">
      <c r="A259" s="32" t="str">
        <f>"          &lt;tx-array-carrier&gt;"&amp;'Control-Sheet'!$I25&amp;"&lt;/tx-array-carrier&gt;"</f>
        <v xml:space="preserve">          &lt;tx-array-carrier&gt;tac_0_0_1_3&lt;/tx-array-carrier&gt;</v>
      </c>
    </row>
    <row r="260" spans="1:1" x14ac:dyDescent="0.25">
      <c r="A260" s="32" t="str">
        <f>"          &lt;low-level-tx-endpoint&gt;"&amp;'Control-Sheet'!$J25&amp;"&lt;/low-level-tx-endpoint&gt;"</f>
        <v xml:space="preserve">          &lt;low-level-tx-endpoint&gt;llte_0_0_1_3_0_0&lt;/low-level-tx-endpoint&gt;</v>
      </c>
    </row>
    <row r="261" spans="1:1" x14ac:dyDescent="0.25">
      <c r="A261" s="28" t="s">
        <v>173</v>
      </c>
    </row>
    <row r="264" spans="1:1" x14ac:dyDescent="0.25">
      <c r="A264" s="6" t="s">
        <v>164</v>
      </c>
    </row>
    <row r="265" spans="1:1" x14ac:dyDescent="0.25">
      <c r="A265" s="7" t="str">
        <f>"          &lt;name&gt;"&amp;'Control-Sheet'!$C26&amp;"&lt;/name&gt;"</f>
        <v xml:space="preserve">          &lt;name&gt;llte_0_0_0_4_0_0&lt;/name&gt;</v>
      </c>
    </row>
    <row r="266" spans="1:1" x14ac:dyDescent="0.25">
      <c r="A266" s="6" t="s">
        <v>10</v>
      </c>
    </row>
    <row r="267" spans="1:1" x14ac:dyDescent="0.25">
      <c r="A267" s="6" t="s">
        <v>11</v>
      </c>
    </row>
    <row r="268" spans="1:1" x14ac:dyDescent="0.25">
      <c r="A268" s="6" t="s">
        <v>12</v>
      </c>
    </row>
    <row r="269" spans="1:1" x14ac:dyDescent="0.25">
      <c r="A269" s="6" t="s">
        <v>13</v>
      </c>
    </row>
    <row r="270" spans="1:1" x14ac:dyDescent="0.25">
      <c r="A270" s="6" t="s">
        <v>14</v>
      </c>
    </row>
    <row r="271" spans="1:1" x14ac:dyDescent="0.25">
      <c r="A271" s="6" t="s">
        <v>15</v>
      </c>
    </row>
    <row r="272" spans="1:1" x14ac:dyDescent="0.25">
      <c r="A272" s="6" t="s">
        <v>16</v>
      </c>
    </row>
    <row r="273" spans="1:1" x14ac:dyDescent="0.25">
      <c r="A273" s="6" t="s">
        <v>17</v>
      </c>
    </row>
    <row r="274" spans="1:1" x14ac:dyDescent="0.25">
      <c r="A274" s="9" t="s">
        <v>18</v>
      </c>
    </row>
    <row r="275" spans="1:1" x14ac:dyDescent="0.25">
      <c r="A275" s="6" t="s">
        <v>30</v>
      </c>
    </row>
    <row r="276" spans="1:1" x14ac:dyDescent="0.25">
      <c r="A276" s="7" t="str">
        <f>"            &lt;scs&gt;"&amp;'Control-Sheet'!$D26&amp;"&lt;/scs&gt;"</f>
        <v xml:space="preserve">            &lt;scs&gt;KHZ_15&lt;/scs&gt;</v>
      </c>
    </row>
    <row r="277" spans="1:1" x14ac:dyDescent="0.25">
      <c r="A277" s="8" t="str">
        <f>"            &lt;number-of-prb&gt;"&amp;'Control-Sheet'!$E26&amp;"&lt;/number-of-prb&gt;"</f>
        <v xml:space="preserve">            &lt;number-of-prb&gt;106&lt;/number-of-prb&gt;</v>
      </c>
    </row>
    <row r="278" spans="1:1" x14ac:dyDescent="0.25">
      <c r="A278" s="6" t="s">
        <v>31</v>
      </c>
    </row>
    <row r="279" spans="1:1" x14ac:dyDescent="0.25">
      <c r="A279" s="6" t="s">
        <v>21</v>
      </c>
    </row>
    <row r="280" spans="1:1" x14ac:dyDescent="0.25">
      <c r="A280" s="6" t="s">
        <v>22</v>
      </c>
    </row>
    <row r="281" spans="1:1" x14ac:dyDescent="0.25">
      <c r="A281" s="6" t="s">
        <v>23</v>
      </c>
    </row>
    <row r="282" spans="1:1" x14ac:dyDescent="0.25">
      <c r="A282" s="6" t="s">
        <v>24</v>
      </c>
    </row>
    <row r="283" spans="1:1" x14ac:dyDescent="0.25">
      <c r="A283" s="6" t="s">
        <v>25</v>
      </c>
    </row>
    <row r="284" spans="1:1" x14ac:dyDescent="0.25">
      <c r="A284" s="7" t="str">
        <f>"            &lt;eaxc-id&gt;"&amp;'Control-Sheet'!$F26&amp;"&lt;/eaxc-id&gt;"</f>
        <v xml:space="preserve">            &lt;eaxc-id&gt;8&lt;/eaxc-id&gt;</v>
      </c>
    </row>
    <row r="285" spans="1:1" x14ac:dyDescent="0.25">
      <c r="A285" s="6" t="s">
        <v>26</v>
      </c>
    </row>
    <row r="286" spans="1:1" x14ac:dyDescent="0.25">
      <c r="A286" s="6" t="s">
        <v>165</v>
      </c>
    </row>
    <row r="287" spans="1:1" x14ac:dyDescent="0.25">
      <c r="A287" s="5" t="s">
        <v>166</v>
      </c>
    </row>
    <row r="288" spans="1:1" x14ac:dyDescent="0.25">
      <c r="A288" s="29" t="str">
        <f>"          &lt;name&gt;"&amp;'Control-Sheet'!$K26&amp;"&lt;/name&gt;"</f>
        <v xml:space="preserve">          &lt;name&gt;tac_0_0_0_4&lt;/name&gt;</v>
      </c>
    </row>
    <row r="289" spans="1:1" x14ac:dyDescent="0.25">
      <c r="A289" s="5" t="s">
        <v>167</v>
      </c>
    </row>
    <row r="290" spans="1:1" x14ac:dyDescent="0.25">
      <c r="A290" s="30" t="str">
        <f>"          &lt;center-of-channel-bandwidth&gt;"&amp;'Control-Sheet'!$L26*10^6&amp;"&lt;/center-of-channel-bandwidth&gt;"</f>
        <v xml:space="preserve">          &lt;center-of-channel-bandwidth&gt;3415000000&lt;/center-of-channel-bandwidth&gt;</v>
      </c>
    </row>
    <row r="291" spans="1:1" x14ac:dyDescent="0.25">
      <c r="A291" s="30" t="str">
        <f>"          &lt;channel-bandwidth&gt;"&amp;'Control-Sheet'!$M26*10^6&amp;"&lt;/channel-bandwidth&gt;"</f>
        <v xml:space="preserve">          &lt;channel-bandwidth&gt;10000000&lt;/channel-bandwidth&gt;</v>
      </c>
    </row>
    <row r="292" spans="1:1" x14ac:dyDescent="0.25">
      <c r="A292" s="5" t="s">
        <v>168</v>
      </c>
    </row>
    <row r="293" spans="1:1" x14ac:dyDescent="0.25">
      <c r="A293" s="30" t="str">
        <f>"          &lt;type&gt;"&amp;'Control-Sheet'!$N26&amp;"&lt;/type&gt;"</f>
        <v xml:space="preserve">          &lt;type&gt;NR&lt;/type&gt;</v>
      </c>
    </row>
    <row r="294" spans="1:1" x14ac:dyDescent="0.25">
      <c r="A294" s="5" t="s">
        <v>169</v>
      </c>
    </row>
    <row r="295" spans="1:1" x14ac:dyDescent="0.25">
      <c r="A295" s="5" t="s">
        <v>170</v>
      </c>
    </row>
    <row r="296" spans="1:1" x14ac:dyDescent="0.25">
      <c r="A296" s="30" t="str">
        <f>"          &lt;gain&gt;"&amp;'Control-Sheet'!$O26&amp;"&lt;/gain&gt;"</f>
        <v xml:space="preserve">          &lt;gain&gt;7&lt;/gain&gt;</v>
      </c>
    </row>
    <row r="297" spans="1:1" x14ac:dyDescent="0.25">
      <c r="A297" s="5" t="s">
        <v>171</v>
      </c>
    </row>
    <row r="298" spans="1:1" x14ac:dyDescent="0.25">
      <c r="A298" s="28" t="s">
        <v>172</v>
      </c>
    </row>
    <row r="299" spans="1:1" x14ac:dyDescent="0.25">
      <c r="A299" s="31" t="str">
        <f>"          &lt;name&gt;"&amp;'Control-Sheet'!$G26&amp;"&lt;/name&gt;"</f>
        <v xml:space="preserve">          &lt;name&gt;llte_0_0_0_4_0_0&lt;/name&gt;</v>
      </c>
    </row>
    <row r="300" spans="1:1" x14ac:dyDescent="0.25">
      <c r="A300" s="32" t="str">
        <f>"          &lt;processing-element&gt;"&amp;'Control-Sheet'!$H26&amp;"&lt;/processing-element&gt;"</f>
        <v xml:space="preserve">          &lt;processing-element&gt;ru-pe.0&lt;/processing-element&gt;</v>
      </c>
    </row>
    <row r="301" spans="1:1" x14ac:dyDescent="0.25">
      <c r="A301" s="32" t="str">
        <f>"          &lt;tx-array-carrier&gt;"&amp;'Control-Sheet'!$I26&amp;"&lt;/tx-array-carrier&gt;"</f>
        <v xml:space="preserve">          &lt;tx-array-carrier&gt;tac_0_0_0_4&lt;/tx-array-carrier&gt;</v>
      </c>
    </row>
    <row r="302" spans="1:1" x14ac:dyDescent="0.25">
      <c r="A302" s="32" t="str">
        <f>"          &lt;low-level-tx-endpoint&gt;"&amp;'Control-Sheet'!$J26&amp;"&lt;/low-level-tx-endpoint&gt;"</f>
        <v xml:space="preserve">          &lt;low-level-tx-endpoint&gt;llte_0_0_0_4_0_0&lt;/low-level-tx-endpoint&gt;</v>
      </c>
    </row>
    <row r="303" spans="1:1" x14ac:dyDescent="0.25">
      <c r="A303" s="28" t="s">
        <v>173</v>
      </c>
    </row>
    <row r="306" spans="1:1" x14ac:dyDescent="0.25">
      <c r="A306" s="6" t="s">
        <v>164</v>
      </c>
    </row>
    <row r="307" spans="1:1" x14ac:dyDescent="0.25">
      <c r="A307" s="7" t="str">
        <f>"          &lt;name&gt;"&amp;'Control-Sheet'!$C27&amp;"&lt;/name&gt;"</f>
        <v xml:space="preserve">          &lt;name&gt;llte_0_0_1_4_0_0&lt;/name&gt;</v>
      </c>
    </row>
    <row r="308" spans="1:1" x14ac:dyDescent="0.25">
      <c r="A308" s="6" t="s">
        <v>10</v>
      </c>
    </row>
    <row r="309" spans="1:1" x14ac:dyDescent="0.25">
      <c r="A309" s="6" t="s">
        <v>11</v>
      </c>
    </row>
    <row r="310" spans="1:1" x14ac:dyDescent="0.25">
      <c r="A310" s="6" t="s">
        <v>12</v>
      </c>
    </row>
    <row r="311" spans="1:1" x14ac:dyDescent="0.25">
      <c r="A311" s="6" t="s">
        <v>13</v>
      </c>
    </row>
    <row r="312" spans="1:1" x14ac:dyDescent="0.25">
      <c r="A312" s="6" t="s">
        <v>14</v>
      </c>
    </row>
    <row r="313" spans="1:1" x14ac:dyDescent="0.25">
      <c r="A313" s="6" t="s">
        <v>15</v>
      </c>
    </row>
    <row r="314" spans="1:1" x14ac:dyDescent="0.25">
      <c r="A314" s="6" t="s">
        <v>16</v>
      </c>
    </row>
    <row r="315" spans="1:1" x14ac:dyDescent="0.25">
      <c r="A315" s="6" t="s">
        <v>17</v>
      </c>
    </row>
    <row r="316" spans="1:1" x14ac:dyDescent="0.25">
      <c r="A316" s="9" t="s">
        <v>18</v>
      </c>
    </row>
    <row r="317" spans="1:1" x14ac:dyDescent="0.25">
      <c r="A317" s="6" t="s">
        <v>30</v>
      </c>
    </row>
    <row r="318" spans="1:1" x14ac:dyDescent="0.25">
      <c r="A318" s="7" t="str">
        <f>"            &lt;scs&gt;"&amp;'Control-Sheet'!$D27&amp;"&lt;/scs&gt;"</f>
        <v xml:space="preserve">            &lt;scs&gt;KHZ_15&lt;/scs&gt;</v>
      </c>
    </row>
    <row r="319" spans="1:1" x14ac:dyDescent="0.25">
      <c r="A319" s="8" t="str">
        <f>"            &lt;number-of-prb&gt;"&amp;'Control-Sheet'!$E27&amp;"&lt;/number-of-prb&gt;"</f>
        <v xml:space="preserve">            &lt;number-of-prb&gt;106&lt;/number-of-prb&gt;</v>
      </c>
    </row>
    <row r="320" spans="1:1" x14ac:dyDescent="0.25">
      <c r="A320" s="6" t="s">
        <v>31</v>
      </c>
    </row>
    <row r="321" spans="1:1" x14ac:dyDescent="0.25">
      <c r="A321" s="6" t="s">
        <v>21</v>
      </c>
    </row>
    <row r="322" spans="1:1" x14ac:dyDescent="0.25">
      <c r="A322" s="6" t="s">
        <v>22</v>
      </c>
    </row>
    <row r="323" spans="1:1" x14ac:dyDescent="0.25">
      <c r="A323" s="6" t="s">
        <v>23</v>
      </c>
    </row>
    <row r="324" spans="1:1" x14ac:dyDescent="0.25">
      <c r="A324" s="6" t="s">
        <v>24</v>
      </c>
    </row>
    <row r="325" spans="1:1" x14ac:dyDescent="0.25">
      <c r="A325" s="6" t="s">
        <v>25</v>
      </c>
    </row>
    <row r="326" spans="1:1" x14ac:dyDescent="0.25">
      <c r="A326" s="7" t="str">
        <f>"            &lt;eaxc-id&gt;"&amp;'Control-Sheet'!$F27&amp;"&lt;/eaxc-id&gt;"</f>
        <v xml:space="preserve">            &lt;eaxc-id&gt;9&lt;/eaxc-id&gt;</v>
      </c>
    </row>
    <row r="327" spans="1:1" x14ac:dyDescent="0.25">
      <c r="A327" s="6" t="s">
        <v>26</v>
      </c>
    </row>
    <row r="328" spans="1:1" x14ac:dyDescent="0.25">
      <c r="A328" s="6" t="s">
        <v>165</v>
      </c>
    </row>
    <row r="329" spans="1:1" x14ac:dyDescent="0.25">
      <c r="A329" s="5" t="s">
        <v>166</v>
      </c>
    </row>
    <row r="330" spans="1:1" x14ac:dyDescent="0.25">
      <c r="A330" s="29" t="str">
        <f>"          &lt;name&gt;"&amp;'Control-Sheet'!$K27&amp;"&lt;/name&gt;"</f>
        <v xml:space="preserve">          &lt;name&gt;tac_0_0_1_4&lt;/name&gt;</v>
      </c>
    </row>
    <row r="331" spans="1:1" x14ac:dyDescent="0.25">
      <c r="A331" s="5" t="s">
        <v>167</v>
      </c>
    </row>
    <row r="332" spans="1:1" x14ac:dyDescent="0.25">
      <c r="A332" s="30" t="str">
        <f>"          &lt;center-of-channel-bandwidth&gt;"&amp;'Control-Sheet'!$L27*10^6&amp;"&lt;/center-of-channel-bandwidth&gt;"</f>
        <v xml:space="preserve">          &lt;center-of-channel-bandwidth&gt;3445000000&lt;/center-of-channel-bandwidth&gt;</v>
      </c>
    </row>
    <row r="333" spans="1:1" x14ac:dyDescent="0.25">
      <c r="A333" s="30" t="str">
        <f>"          &lt;channel-bandwidth&gt;"&amp;'Control-Sheet'!$M27*10^6&amp;"&lt;/channel-bandwidth&gt;"</f>
        <v xml:space="preserve">          &lt;channel-bandwidth&gt;10000000&lt;/channel-bandwidth&gt;</v>
      </c>
    </row>
    <row r="334" spans="1:1" x14ac:dyDescent="0.25">
      <c r="A334" s="5" t="s">
        <v>168</v>
      </c>
    </row>
    <row r="335" spans="1:1" x14ac:dyDescent="0.25">
      <c r="A335" s="30" t="str">
        <f>"          &lt;type&gt;"&amp;'Control-Sheet'!$N27&amp;"&lt;/type&gt;"</f>
        <v xml:space="preserve">          &lt;type&gt;NR&lt;/type&gt;</v>
      </c>
    </row>
    <row r="336" spans="1:1" x14ac:dyDescent="0.25">
      <c r="A336" s="5" t="s">
        <v>169</v>
      </c>
    </row>
    <row r="337" spans="1:1" x14ac:dyDescent="0.25">
      <c r="A337" s="5" t="s">
        <v>170</v>
      </c>
    </row>
    <row r="338" spans="1:1" x14ac:dyDescent="0.25">
      <c r="A338" s="30" t="str">
        <f>"          &lt;gain&gt;"&amp;'Control-Sheet'!$O27&amp;"&lt;/gain&gt;"</f>
        <v xml:space="preserve">          &lt;gain&gt;7&lt;/gain&gt;</v>
      </c>
    </row>
    <row r="339" spans="1:1" x14ac:dyDescent="0.25">
      <c r="A339" s="5" t="s">
        <v>171</v>
      </c>
    </row>
    <row r="340" spans="1:1" x14ac:dyDescent="0.25">
      <c r="A340" s="28" t="s">
        <v>172</v>
      </c>
    </row>
    <row r="341" spans="1:1" x14ac:dyDescent="0.25">
      <c r="A341" s="31" t="str">
        <f>"          &lt;name&gt;"&amp;'Control-Sheet'!$G27&amp;"&lt;/name&gt;"</f>
        <v xml:space="preserve">          &lt;name&gt;llte_0_0_1_4_0_0&lt;/name&gt;</v>
      </c>
    </row>
    <row r="342" spans="1:1" x14ac:dyDescent="0.25">
      <c r="A342" s="32" t="str">
        <f>"          &lt;processing-element&gt;"&amp;'Control-Sheet'!$H27&amp;"&lt;/processing-element&gt;"</f>
        <v xml:space="preserve">          &lt;processing-element&gt;ru-pe.0&lt;/processing-element&gt;</v>
      </c>
    </row>
    <row r="343" spans="1:1" x14ac:dyDescent="0.25">
      <c r="A343" s="32" t="str">
        <f>"          &lt;tx-array-carrier&gt;"&amp;'Control-Sheet'!$I27&amp;"&lt;/tx-array-carrier&gt;"</f>
        <v xml:space="preserve">          &lt;tx-array-carrier&gt;tac_0_0_1_4&lt;/tx-array-carrier&gt;</v>
      </c>
    </row>
    <row r="344" spans="1:1" x14ac:dyDescent="0.25">
      <c r="A344" s="32" t="str">
        <f>"          &lt;low-level-tx-endpoint&gt;"&amp;'Control-Sheet'!$J27&amp;"&lt;/low-level-tx-endpoint&gt;"</f>
        <v xml:space="preserve">          &lt;low-level-tx-endpoint&gt;llte_0_0_1_4_0_0&lt;/low-level-tx-endpoint&gt;</v>
      </c>
    </row>
    <row r="345" spans="1:1" x14ac:dyDescent="0.25">
      <c r="A345" s="28" t="s">
        <v>173</v>
      </c>
    </row>
    <row r="348" spans="1:1" x14ac:dyDescent="0.25">
      <c r="A348" t="s">
        <v>32</v>
      </c>
    </row>
    <row r="349" spans="1:1" x14ac:dyDescent="0.25">
      <c r="A349" t="s">
        <v>33</v>
      </c>
    </row>
    <row r="350" spans="1:1" x14ac:dyDescent="0.25">
      <c r="A350" t="s">
        <v>34</v>
      </c>
    </row>
    <row r="351" spans="1:1" x14ac:dyDescent="0.25">
      <c r="A351" t="s">
        <v>35</v>
      </c>
    </row>
  </sheetData>
  <autoFilter ref="A1:A351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91"/>
  <sheetViews>
    <sheetView workbookViewId="0">
      <selection sqref="A1:A1048576"/>
    </sheetView>
  </sheetViews>
  <sheetFormatPr defaultRowHeight="13.5" x14ac:dyDescent="0.25"/>
  <cols>
    <col min="1" max="1" width="79" style="33" bestFit="1" customWidth="1"/>
  </cols>
  <sheetData>
    <row r="1" spans="1:1" x14ac:dyDescent="0.25">
      <c r="A1" s="33" t="s">
        <v>0</v>
      </c>
    </row>
    <row r="2" spans="1:1" x14ac:dyDescent="0.25">
      <c r="A2" s="33" t="s">
        <v>1</v>
      </c>
    </row>
    <row r="3" spans="1:1" x14ac:dyDescent="0.25">
      <c r="A3" s="33" t="s">
        <v>2</v>
      </c>
    </row>
    <row r="4" spans="1:1" x14ac:dyDescent="0.25">
      <c r="A4" s="33" t="s">
        <v>3</v>
      </c>
    </row>
    <row r="5" spans="1:1" x14ac:dyDescent="0.25">
      <c r="A5" s="33" t="s">
        <v>4</v>
      </c>
    </row>
    <row r="6" spans="1:1" x14ac:dyDescent="0.25">
      <c r="A6" s="33" t="s">
        <v>5</v>
      </c>
    </row>
    <row r="7" spans="1:1" x14ac:dyDescent="0.25">
      <c r="A7" s="33" t="s">
        <v>6</v>
      </c>
    </row>
    <row r="8" spans="1:1" x14ac:dyDescent="0.25">
      <c r="A8" s="33" t="s">
        <v>7</v>
      </c>
    </row>
    <row r="9" spans="1:1" x14ac:dyDescent="0.25">
      <c r="A9" s="33" t="s">
        <v>8</v>
      </c>
    </row>
    <row r="12" spans="1:1" x14ac:dyDescent="0.25">
      <c r="A12" s="1" t="s">
        <v>9</v>
      </c>
    </row>
    <row r="13" spans="1:1" x14ac:dyDescent="0.25">
      <c r="A13" s="8" t="str">
        <f>"            &lt;name&gt;"&amp;'Control-Sheet'!$C34&amp;"&lt;/name&gt;"</f>
        <v xml:space="preserve">            &lt;name&gt;llre_0_0_0_1_0_0&lt;/name&gt;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 t="s">
        <v>30</v>
      </c>
    </row>
    <row r="24" spans="1:1" x14ac:dyDescent="0.25">
      <c r="A24" s="8" t="str">
        <f>"            &lt;scs&gt;"&amp;'Control-Sheet'!$D34&amp;"&lt;/scs&gt;"</f>
        <v xml:space="preserve">            &lt;scs&gt;KHZ_15&lt;/scs&gt;</v>
      </c>
    </row>
    <row r="25" spans="1:1" x14ac:dyDescent="0.25">
      <c r="A25" s="8" t="str">
        <f>"            &lt;number-of-prb&gt;"&amp;'Control-Sheet'!$E34&amp;"&lt;/number-of-prb&gt;"</f>
        <v xml:space="preserve">            &lt;number-of-prb&gt;106&lt;/number-of-prb&gt;</v>
      </c>
    </row>
    <row r="26" spans="1:1" x14ac:dyDescent="0.25">
      <c r="A26" s="1" t="s">
        <v>31</v>
      </c>
    </row>
    <row r="27" spans="1:1" x14ac:dyDescent="0.25">
      <c r="A27" s="1" t="s">
        <v>19</v>
      </c>
    </row>
    <row r="28" spans="1:1" x14ac:dyDescent="0.25">
      <c r="A28" s="8" t="str">
        <f>"            &lt;scs&gt;"&amp;'Control-Sheet'!$D34&amp;"&lt;/scs&gt;"</f>
        <v xml:space="preserve">            &lt;scs&gt;KHZ_15&lt;/scs&gt;</v>
      </c>
    </row>
    <row r="29" spans="1:1" x14ac:dyDescent="0.25">
      <c r="A29" s="8" t="str">
        <f>"            &lt;ul-fft-sampling-offset&gt;"&amp;'Control-Sheet'!$F34&amp;"&lt;/ul-fft-sampling-offset&gt;"</f>
        <v xml:space="preserve">            &lt;ul-fft-sampling-offset&gt;0&lt;/ul-fft-sampling-offset&gt;</v>
      </c>
    </row>
    <row r="30" spans="1:1" x14ac:dyDescent="0.25">
      <c r="A30" s="1" t="s">
        <v>20</v>
      </c>
    </row>
    <row r="31" spans="1:1" x14ac:dyDescent="0.25">
      <c r="A31" s="1" t="s">
        <v>21</v>
      </c>
    </row>
    <row r="32" spans="1:1" x14ac:dyDescent="0.25">
      <c r="A32" s="1" t="s">
        <v>22</v>
      </c>
    </row>
    <row r="33" spans="1:1" x14ac:dyDescent="0.25">
      <c r="A33" s="1" t="s">
        <v>23</v>
      </c>
    </row>
    <row r="34" spans="1:1" x14ac:dyDescent="0.25">
      <c r="A34" s="1" t="s">
        <v>24</v>
      </c>
    </row>
    <row r="35" spans="1:1" x14ac:dyDescent="0.25">
      <c r="A35" s="1" t="s">
        <v>25</v>
      </c>
    </row>
    <row r="36" spans="1:1" x14ac:dyDescent="0.25">
      <c r="A36" s="8" t="str">
        <f>"            &lt;eaxc-id&gt;"&amp;'Control-Sheet'!$G34&amp;"&lt;/eaxc-id&gt;"</f>
        <v xml:space="preserve">            &lt;eaxc-id&gt;18&lt;/eaxc-id&gt;</v>
      </c>
    </row>
    <row r="37" spans="1:1" x14ac:dyDescent="0.25">
      <c r="A37" s="1" t="s">
        <v>26</v>
      </c>
    </row>
    <row r="38" spans="1:1" x14ac:dyDescent="0.25">
      <c r="A38" s="1" t="s">
        <v>27</v>
      </c>
    </row>
    <row r="39" spans="1:1" x14ac:dyDescent="0.25">
      <c r="A39" s="2" t="s">
        <v>174</v>
      </c>
    </row>
    <row r="40" spans="1:1" x14ac:dyDescent="0.25">
      <c r="A40" s="30" t="str">
        <f>"          &lt;name&gt;"&amp;'Control-Sheet'!$L34&amp;"&lt;/name&gt;"</f>
        <v xml:space="preserve">          &lt;name&gt;rac_0_0_0_1&lt;/name&gt;</v>
      </c>
    </row>
    <row r="41" spans="1:1" x14ac:dyDescent="0.25">
      <c r="A41" s="2" t="s">
        <v>167</v>
      </c>
    </row>
    <row r="42" spans="1:1" x14ac:dyDescent="0.25">
      <c r="A42" s="30" t="str">
        <f>"          &lt;center-of-channel-bandwidth&gt;"&amp;'Control-Sheet'!$M34*10^6&amp;"&lt;/center-of-channel-bandwidth&gt;"</f>
        <v xml:space="preserve">          &lt;center-of-channel-bandwidth&gt;3415000000&lt;/center-of-channel-bandwidth&gt;</v>
      </c>
    </row>
    <row r="43" spans="1:1" x14ac:dyDescent="0.25">
      <c r="A43" s="30" t="str">
        <f>"          &lt;channel-bandwidth&gt;"&amp;'Control-Sheet'!$N34*10^6&amp;"&lt;/channel-bandwidth&gt;"</f>
        <v xml:space="preserve">          &lt;channel-bandwidth&gt;10000000&lt;/channel-bandwidth&gt;</v>
      </c>
    </row>
    <row r="44" spans="1:1" x14ac:dyDescent="0.25">
      <c r="A44" s="2" t="s">
        <v>168</v>
      </c>
    </row>
    <row r="45" spans="1:1" x14ac:dyDescent="0.25">
      <c r="A45" s="30" t="str">
        <f>"          &lt;type&gt;"&amp;'Control-Sheet'!$O34&amp;"&lt;/type&gt;"</f>
        <v xml:space="preserve">          &lt;type&gt;NR&lt;/type&gt;</v>
      </c>
    </row>
    <row r="46" spans="1:1" x14ac:dyDescent="0.25">
      <c r="A46" s="30" t="str">
        <f>"          &lt;n-ta-offset&gt;"&amp;'Control-Sheet'!$P34&amp;"&lt;/n-ta-offset&gt;"</f>
        <v xml:space="preserve">          &lt;n-ta-offset&gt;25600&lt;/n-ta-offset&gt;</v>
      </c>
    </row>
    <row r="47" spans="1:1" x14ac:dyDescent="0.25">
      <c r="A47" s="2" t="s">
        <v>175</v>
      </c>
    </row>
    <row r="48" spans="1:1" x14ac:dyDescent="0.25">
      <c r="A48" s="2" t="s">
        <v>169</v>
      </c>
    </row>
    <row r="49" spans="1:1" x14ac:dyDescent="0.25">
      <c r="A49" s="2" t="s">
        <v>170</v>
      </c>
    </row>
    <row r="50" spans="1:1" x14ac:dyDescent="0.25">
      <c r="A50" s="2" t="s">
        <v>176</v>
      </c>
    </row>
    <row r="51" spans="1:1" x14ac:dyDescent="0.25">
      <c r="A51" s="3" t="s">
        <v>28</v>
      </c>
    </row>
    <row r="52" spans="1:1" x14ac:dyDescent="0.25">
      <c r="A52" s="32" t="str">
        <f>"          &lt;name&gt;"&amp;'Control-Sheet'!$H34&amp;"&lt;/name&gt;"</f>
        <v xml:space="preserve">          &lt;name&gt;llre_0_0_0_1_0_0&lt;/name&gt;</v>
      </c>
    </row>
    <row r="53" spans="1:1" x14ac:dyDescent="0.25">
      <c r="A53" s="32" t="str">
        <f>"          &lt;processing-element&gt;"&amp;'Control-Sheet'!$I34&amp;"&lt;/processing-element&gt;"</f>
        <v xml:space="preserve">          &lt;processing-element&gt;ru-pe.0&lt;/processing-element&gt;</v>
      </c>
    </row>
    <row r="54" spans="1:1" x14ac:dyDescent="0.25">
      <c r="A54" s="32" t="str">
        <f>"          &lt;rx-array-carrier&gt;"&amp;'Control-Sheet'!$J34&amp;"&lt;/rx-array-carrier&gt;"</f>
        <v xml:space="preserve">          &lt;rx-array-carrier&gt;rac_0_0_0_1&lt;/rx-array-carrier&gt;</v>
      </c>
    </row>
    <row r="55" spans="1:1" x14ac:dyDescent="0.25">
      <c r="A55" s="32" t="str">
        <f>"          &lt;low-level-rx-endpoint&gt;"&amp;'Control-Sheet'!$K34&amp;"&lt;/low-level-rx-endpoint&gt;"</f>
        <v xml:space="preserve">          &lt;low-level-rx-endpoint&gt;llre_0_0_0_1_0_0&lt;/low-level-rx-endpoint&gt;</v>
      </c>
    </row>
    <row r="56" spans="1:1" x14ac:dyDescent="0.25">
      <c r="A56" s="3" t="s">
        <v>29</v>
      </c>
    </row>
    <row r="59" spans="1:1" x14ac:dyDescent="0.25">
      <c r="A59" s="1" t="s">
        <v>9</v>
      </c>
    </row>
    <row r="60" spans="1:1" x14ac:dyDescent="0.25">
      <c r="A60" s="8" t="str">
        <f>"            &lt;name&gt;"&amp;'Control-Sheet'!$C35&amp;"&lt;/name&gt;"</f>
        <v xml:space="preserve">            &lt;name&gt;llre_0_0_1_1_0_0&lt;/name&gt;</v>
      </c>
    </row>
    <row r="61" spans="1:1" x14ac:dyDescent="0.25">
      <c r="A61" s="1" t="s">
        <v>10</v>
      </c>
    </row>
    <row r="62" spans="1:1" x14ac:dyDescent="0.25">
      <c r="A62" s="1" t="s">
        <v>11</v>
      </c>
    </row>
    <row r="63" spans="1:1" x14ac:dyDescent="0.25">
      <c r="A63" s="1" t="s">
        <v>12</v>
      </c>
    </row>
    <row r="64" spans="1:1" x14ac:dyDescent="0.25">
      <c r="A64" s="1" t="s">
        <v>13</v>
      </c>
    </row>
    <row r="65" spans="1:1" x14ac:dyDescent="0.25">
      <c r="A65" s="1" t="s">
        <v>14</v>
      </c>
    </row>
    <row r="66" spans="1:1" x14ac:dyDescent="0.25">
      <c r="A66" s="1" t="s">
        <v>15</v>
      </c>
    </row>
    <row r="67" spans="1:1" x14ac:dyDescent="0.25">
      <c r="A67" s="1" t="s">
        <v>16</v>
      </c>
    </row>
    <row r="68" spans="1:1" x14ac:dyDescent="0.25">
      <c r="A68" s="1" t="s">
        <v>17</v>
      </c>
    </row>
    <row r="69" spans="1:1" x14ac:dyDescent="0.25">
      <c r="A69" s="1" t="s">
        <v>18</v>
      </c>
    </row>
    <row r="70" spans="1:1" x14ac:dyDescent="0.25">
      <c r="A70" s="1" t="s">
        <v>30</v>
      </c>
    </row>
    <row r="71" spans="1:1" x14ac:dyDescent="0.25">
      <c r="A71" s="8" t="str">
        <f>"            &lt;scs&gt;"&amp;'Control-Sheet'!$D35&amp;"&lt;/scs&gt;"</f>
        <v xml:space="preserve">            &lt;scs&gt;KHZ_15&lt;/scs&gt;</v>
      </c>
    </row>
    <row r="72" spans="1:1" x14ac:dyDescent="0.25">
      <c r="A72" s="8" t="str">
        <f>"            &lt;number-of-prb&gt;"&amp;'Control-Sheet'!$E35&amp;"&lt;/number-of-prb&gt;"</f>
        <v xml:space="preserve">            &lt;number-of-prb&gt;106&lt;/number-of-prb&gt;</v>
      </c>
    </row>
    <row r="73" spans="1:1" x14ac:dyDescent="0.25">
      <c r="A73" s="1" t="s">
        <v>31</v>
      </c>
    </row>
    <row r="74" spans="1:1" x14ac:dyDescent="0.25">
      <c r="A74" s="1" t="s">
        <v>19</v>
      </c>
    </row>
    <row r="75" spans="1:1" x14ac:dyDescent="0.25">
      <c r="A75" s="8" t="str">
        <f>"            &lt;scs&gt;"&amp;'Control-Sheet'!$D35&amp;"&lt;/scs&gt;"</f>
        <v xml:space="preserve">            &lt;scs&gt;KHZ_15&lt;/scs&gt;</v>
      </c>
    </row>
    <row r="76" spans="1:1" x14ac:dyDescent="0.25">
      <c r="A76" s="8" t="str">
        <f>"            &lt;ul-fft-sampling-offset&gt;"&amp;'Control-Sheet'!$F35&amp;"&lt;/ul-fft-sampling-offset&gt;"</f>
        <v xml:space="preserve">            &lt;ul-fft-sampling-offset&gt;0&lt;/ul-fft-sampling-offset&gt;</v>
      </c>
    </row>
    <row r="77" spans="1:1" x14ac:dyDescent="0.25">
      <c r="A77" s="1" t="s">
        <v>20</v>
      </c>
    </row>
    <row r="78" spans="1:1" x14ac:dyDescent="0.25">
      <c r="A78" s="1" t="s">
        <v>21</v>
      </c>
    </row>
    <row r="79" spans="1:1" x14ac:dyDescent="0.25">
      <c r="A79" s="1" t="s">
        <v>22</v>
      </c>
    </row>
    <row r="80" spans="1:1" x14ac:dyDescent="0.25">
      <c r="A80" s="1" t="s">
        <v>23</v>
      </c>
    </row>
    <row r="81" spans="1:1" x14ac:dyDescent="0.25">
      <c r="A81" s="1" t="s">
        <v>24</v>
      </c>
    </row>
    <row r="82" spans="1:1" x14ac:dyDescent="0.25">
      <c r="A82" s="1" t="s">
        <v>25</v>
      </c>
    </row>
    <row r="83" spans="1:1" x14ac:dyDescent="0.25">
      <c r="A83" s="8" t="str">
        <f>"            &lt;eaxc-id&gt;"&amp;'Control-Sheet'!$G35&amp;"&lt;/eaxc-id&gt;"</f>
        <v xml:space="preserve">            &lt;eaxc-id&gt;19&lt;/eaxc-id&gt;</v>
      </c>
    </row>
    <row r="84" spans="1:1" x14ac:dyDescent="0.25">
      <c r="A84" s="1" t="s">
        <v>26</v>
      </c>
    </row>
    <row r="85" spans="1:1" x14ac:dyDescent="0.25">
      <c r="A85" s="1" t="s">
        <v>27</v>
      </c>
    </row>
    <row r="86" spans="1:1" x14ac:dyDescent="0.25">
      <c r="A86" s="2" t="s">
        <v>174</v>
      </c>
    </row>
    <row r="87" spans="1:1" x14ac:dyDescent="0.25">
      <c r="A87" s="30" t="str">
        <f>"          &lt;name&gt;"&amp;'Control-Sheet'!$L35&amp;"&lt;/name&gt;"</f>
        <v xml:space="preserve">          &lt;name&gt;rac_0_0_1_1&lt;/name&gt;</v>
      </c>
    </row>
    <row r="88" spans="1:1" x14ac:dyDescent="0.25">
      <c r="A88" s="2" t="s">
        <v>167</v>
      </c>
    </row>
    <row r="89" spans="1:1" x14ac:dyDescent="0.25">
      <c r="A89" s="30" t="str">
        <f>"          &lt;center-of-channel-bandwidth&gt;"&amp;'Control-Sheet'!$M35*10^6&amp;"&lt;/center-of-channel-bandwidth&gt;"</f>
        <v xml:space="preserve">          &lt;center-of-channel-bandwidth&gt;3445000000&lt;/center-of-channel-bandwidth&gt;</v>
      </c>
    </row>
    <row r="90" spans="1:1" x14ac:dyDescent="0.25">
      <c r="A90" s="30" t="str">
        <f>"          &lt;channel-bandwidth&gt;"&amp;'Control-Sheet'!$N35*10^6&amp;"&lt;/channel-bandwidth&gt;"</f>
        <v xml:space="preserve">          &lt;channel-bandwidth&gt;10000000&lt;/channel-bandwidth&gt;</v>
      </c>
    </row>
    <row r="91" spans="1:1" x14ac:dyDescent="0.25">
      <c r="A91" s="2" t="s">
        <v>168</v>
      </c>
    </row>
    <row r="92" spans="1:1" x14ac:dyDescent="0.25">
      <c r="A92" s="30" t="str">
        <f>"          &lt;type&gt;"&amp;'Control-Sheet'!$O35&amp;"&lt;/type&gt;"</f>
        <v xml:space="preserve">          &lt;type&gt;NR&lt;/type&gt;</v>
      </c>
    </row>
    <row r="93" spans="1:1" x14ac:dyDescent="0.25">
      <c r="A93" s="30" t="str">
        <f>"          &lt;n-ta-offset&gt;"&amp;'Control-Sheet'!$P35&amp;"&lt;/n-ta-offset&gt;"</f>
        <v xml:space="preserve">          &lt;n-ta-offset&gt;25600&lt;/n-ta-offset&gt;</v>
      </c>
    </row>
    <row r="94" spans="1:1" x14ac:dyDescent="0.25">
      <c r="A94" s="2" t="s">
        <v>175</v>
      </c>
    </row>
    <row r="95" spans="1:1" x14ac:dyDescent="0.25">
      <c r="A95" s="2" t="s">
        <v>169</v>
      </c>
    </row>
    <row r="96" spans="1:1" x14ac:dyDescent="0.25">
      <c r="A96" s="2" t="s">
        <v>170</v>
      </c>
    </row>
    <row r="97" spans="1:1" x14ac:dyDescent="0.25">
      <c r="A97" s="2" t="s">
        <v>176</v>
      </c>
    </row>
    <row r="98" spans="1:1" x14ac:dyDescent="0.25">
      <c r="A98" s="3" t="s">
        <v>28</v>
      </c>
    </row>
    <row r="99" spans="1:1" x14ac:dyDescent="0.25">
      <c r="A99" s="32" t="str">
        <f>"          &lt;name&gt;"&amp;'Control-Sheet'!$H35&amp;"&lt;/name&gt;"</f>
        <v xml:space="preserve">          &lt;name&gt;llre_0_0_1_1_0_0&lt;/name&gt;</v>
      </c>
    </row>
    <row r="100" spans="1:1" x14ac:dyDescent="0.25">
      <c r="A100" s="32" t="str">
        <f>"          &lt;processing-element&gt;"&amp;'Control-Sheet'!$I35&amp;"&lt;/processing-element&gt;"</f>
        <v xml:space="preserve">          &lt;processing-element&gt;ru-pe.0&lt;/processing-element&gt;</v>
      </c>
    </row>
    <row r="101" spans="1:1" x14ac:dyDescent="0.25">
      <c r="A101" s="32" t="str">
        <f>"          &lt;rx-array-carrier&gt;"&amp;'Control-Sheet'!$J35&amp;"&lt;/rx-array-carrier&gt;"</f>
        <v xml:space="preserve">          &lt;rx-array-carrier&gt;rac_0_0_1_1&lt;/rx-array-carrier&gt;</v>
      </c>
    </row>
    <row r="102" spans="1:1" x14ac:dyDescent="0.25">
      <c r="A102" s="32" t="str">
        <f>"          &lt;low-level-rx-endpoint&gt;"&amp;'Control-Sheet'!$K35&amp;"&lt;/low-level-rx-endpoint&gt;"</f>
        <v xml:space="preserve">          &lt;low-level-rx-endpoint&gt;llre_0_0_1_1_0_0&lt;/low-level-rx-endpoint&gt;</v>
      </c>
    </row>
    <row r="103" spans="1:1" x14ac:dyDescent="0.25">
      <c r="A103" s="3" t="s">
        <v>29</v>
      </c>
    </row>
    <row r="106" spans="1:1" x14ac:dyDescent="0.25">
      <c r="A106" s="1" t="s">
        <v>9</v>
      </c>
    </row>
    <row r="107" spans="1:1" x14ac:dyDescent="0.25">
      <c r="A107" s="8" t="str">
        <f>"            &lt;name&gt;"&amp;'Control-Sheet'!$C36&amp;"&lt;/name&gt;"</f>
        <v xml:space="preserve">            &lt;name&gt;llre_0_0_0_2_0_0&lt;/name&gt;</v>
      </c>
    </row>
    <row r="108" spans="1:1" x14ac:dyDescent="0.25">
      <c r="A108" s="1" t="s">
        <v>10</v>
      </c>
    </row>
    <row r="109" spans="1:1" x14ac:dyDescent="0.25">
      <c r="A109" s="1" t="s">
        <v>11</v>
      </c>
    </row>
    <row r="110" spans="1:1" x14ac:dyDescent="0.25">
      <c r="A110" s="1" t="s">
        <v>12</v>
      </c>
    </row>
    <row r="111" spans="1:1" x14ac:dyDescent="0.25">
      <c r="A111" s="1" t="s">
        <v>13</v>
      </c>
    </row>
    <row r="112" spans="1:1" x14ac:dyDescent="0.25">
      <c r="A112" s="1" t="s">
        <v>14</v>
      </c>
    </row>
    <row r="113" spans="1:1" x14ac:dyDescent="0.25">
      <c r="A113" s="1" t="s">
        <v>15</v>
      </c>
    </row>
    <row r="114" spans="1:1" x14ac:dyDescent="0.25">
      <c r="A114" s="1" t="s">
        <v>16</v>
      </c>
    </row>
    <row r="115" spans="1:1" x14ac:dyDescent="0.25">
      <c r="A115" s="1" t="s">
        <v>17</v>
      </c>
    </row>
    <row r="116" spans="1:1" x14ac:dyDescent="0.25">
      <c r="A116" s="1" t="s">
        <v>18</v>
      </c>
    </row>
    <row r="117" spans="1:1" x14ac:dyDescent="0.25">
      <c r="A117" s="1" t="s">
        <v>30</v>
      </c>
    </row>
    <row r="118" spans="1:1" x14ac:dyDescent="0.25">
      <c r="A118" s="8" t="str">
        <f>"            &lt;scs&gt;"&amp;'Control-Sheet'!$D36&amp;"&lt;/scs&gt;"</f>
        <v xml:space="preserve">            &lt;scs&gt;KHZ_15&lt;/scs&gt;</v>
      </c>
    </row>
    <row r="119" spans="1:1" x14ac:dyDescent="0.25">
      <c r="A119" s="8" t="str">
        <f>"            &lt;number-of-prb&gt;"&amp;'Control-Sheet'!$E36&amp;"&lt;/number-of-prb&gt;"</f>
        <v xml:space="preserve">            &lt;number-of-prb&gt;106&lt;/number-of-prb&gt;</v>
      </c>
    </row>
    <row r="120" spans="1:1" x14ac:dyDescent="0.25">
      <c r="A120" s="1" t="s">
        <v>31</v>
      </c>
    </row>
    <row r="121" spans="1:1" x14ac:dyDescent="0.25">
      <c r="A121" s="1" t="s">
        <v>19</v>
      </c>
    </row>
    <row r="122" spans="1:1" x14ac:dyDescent="0.25">
      <c r="A122" s="8" t="str">
        <f>"            &lt;scs&gt;"&amp;'Control-Sheet'!$D36&amp;"&lt;/scs&gt;"</f>
        <v xml:space="preserve">            &lt;scs&gt;KHZ_15&lt;/scs&gt;</v>
      </c>
    </row>
    <row r="123" spans="1:1" x14ac:dyDescent="0.25">
      <c r="A123" s="8" t="str">
        <f>"            &lt;ul-fft-sampling-offset&gt;"&amp;'Control-Sheet'!$F36&amp;"&lt;/ul-fft-sampling-offset&gt;"</f>
        <v xml:space="preserve">            &lt;ul-fft-sampling-offset&gt;0&lt;/ul-fft-sampling-offset&gt;</v>
      </c>
    </row>
    <row r="124" spans="1:1" x14ac:dyDescent="0.25">
      <c r="A124" s="1" t="s">
        <v>20</v>
      </c>
    </row>
    <row r="125" spans="1:1" x14ac:dyDescent="0.25">
      <c r="A125" s="1" t="s">
        <v>21</v>
      </c>
    </row>
    <row r="126" spans="1:1" x14ac:dyDescent="0.25">
      <c r="A126" s="1" t="s">
        <v>22</v>
      </c>
    </row>
    <row r="127" spans="1:1" x14ac:dyDescent="0.25">
      <c r="A127" s="1" t="s">
        <v>23</v>
      </c>
    </row>
    <row r="128" spans="1:1" x14ac:dyDescent="0.25">
      <c r="A128" s="1" t="s">
        <v>24</v>
      </c>
    </row>
    <row r="129" spans="1:1" x14ac:dyDescent="0.25">
      <c r="A129" s="1" t="s">
        <v>25</v>
      </c>
    </row>
    <row r="130" spans="1:1" x14ac:dyDescent="0.25">
      <c r="A130" s="8" t="str">
        <f>"            &lt;eaxc-id&gt;"&amp;'Control-Sheet'!$G36&amp;"&lt;/eaxc-id&gt;"</f>
        <v xml:space="preserve">            &lt;eaxc-id&gt;20&lt;/eaxc-id&gt;</v>
      </c>
    </row>
    <row r="131" spans="1:1" x14ac:dyDescent="0.25">
      <c r="A131" s="1" t="s">
        <v>26</v>
      </c>
    </row>
    <row r="132" spans="1:1" x14ac:dyDescent="0.25">
      <c r="A132" s="1" t="s">
        <v>27</v>
      </c>
    </row>
    <row r="133" spans="1:1" x14ac:dyDescent="0.25">
      <c r="A133" s="2" t="s">
        <v>174</v>
      </c>
    </row>
    <row r="134" spans="1:1" x14ac:dyDescent="0.25">
      <c r="A134" s="30" t="str">
        <f>"          &lt;name&gt;"&amp;'Control-Sheet'!$L36&amp;"&lt;/name&gt;"</f>
        <v xml:space="preserve">          &lt;name&gt;rac_0_0_0_2&lt;/name&gt;</v>
      </c>
    </row>
    <row r="135" spans="1:1" x14ac:dyDescent="0.25">
      <c r="A135" s="2" t="s">
        <v>167</v>
      </c>
    </row>
    <row r="136" spans="1:1" x14ac:dyDescent="0.25">
      <c r="A136" s="30" t="str">
        <f>"          &lt;center-of-channel-bandwidth&gt;"&amp;'Control-Sheet'!$M36*10^6&amp;"&lt;/center-of-channel-bandwidth&gt;"</f>
        <v xml:space="preserve">          &lt;center-of-channel-bandwidth&gt;3415000000&lt;/center-of-channel-bandwidth&gt;</v>
      </c>
    </row>
    <row r="137" spans="1:1" x14ac:dyDescent="0.25">
      <c r="A137" s="30" t="str">
        <f>"          &lt;channel-bandwidth&gt;"&amp;'Control-Sheet'!$N36*10^6&amp;"&lt;/channel-bandwidth&gt;"</f>
        <v xml:space="preserve">          &lt;channel-bandwidth&gt;10000000&lt;/channel-bandwidth&gt;</v>
      </c>
    </row>
    <row r="138" spans="1:1" x14ac:dyDescent="0.25">
      <c r="A138" s="2" t="s">
        <v>168</v>
      </c>
    </row>
    <row r="139" spans="1:1" x14ac:dyDescent="0.25">
      <c r="A139" s="30" t="str">
        <f>"          &lt;type&gt;"&amp;'Control-Sheet'!$O36&amp;"&lt;/type&gt;"</f>
        <v xml:space="preserve">          &lt;type&gt;NR&lt;/type&gt;</v>
      </c>
    </row>
    <row r="140" spans="1:1" x14ac:dyDescent="0.25">
      <c r="A140" s="30" t="str">
        <f>"          &lt;n-ta-offset&gt;"&amp;'Control-Sheet'!$P36&amp;"&lt;/n-ta-offset&gt;"</f>
        <v xml:space="preserve">          &lt;n-ta-offset&gt;25600&lt;/n-ta-offset&gt;</v>
      </c>
    </row>
    <row r="141" spans="1:1" x14ac:dyDescent="0.25">
      <c r="A141" s="2" t="s">
        <v>175</v>
      </c>
    </row>
    <row r="142" spans="1:1" x14ac:dyDescent="0.25">
      <c r="A142" s="2" t="s">
        <v>169</v>
      </c>
    </row>
    <row r="143" spans="1:1" x14ac:dyDescent="0.25">
      <c r="A143" s="2" t="s">
        <v>170</v>
      </c>
    </row>
    <row r="144" spans="1:1" x14ac:dyDescent="0.25">
      <c r="A144" s="2" t="s">
        <v>176</v>
      </c>
    </row>
    <row r="145" spans="1:1" x14ac:dyDescent="0.25">
      <c r="A145" s="3" t="s">
        <v>28</v>
      </c>
    </row>
    <row r="146" spans="1:1" x14ac:dyDescent="0.25">
      <c r="A146" s="32" t="str">
        <f>"          &lt;name&gt;"&amp;'Control-Sheet'!$H36&amp;"&lt;/name&gt;"</f>
        <v xml:space="preserve">          &lt;name&gt;llre_0_0_0_2_0_0&lt;/name&gt;</v>
      </c>
    </row>
    <row r="147" spans="1:1" x14ac:dyDescent="0.25">
      <c r="A147" s="32" t="str">
        <f>"          &lt;processing-element&gt;"&amp;'Control-Sheet'!$I36&amp;"&lt;/processing-element&gt;"</f>
        <v xml:space="preserve">          &lt;processing-element&gt;ru-pe.0&lt;/processing-element&gt;</v>
      </c>
    </row>
    <row r="148" spans="1:1" x14ac:dyDescent="0.25">
      <c r="A148" s="32" t="str">
        <f>"          &lt;rx-array-carrier&gt;"&amp;'Control-Sheet'!$J36&amp;"&lt;/rx-array-carrier&gt;"</f>
        <v xml:space="preserve">          &lt;rx-array-carrier&gt;rac_0_0_0_2&lt;/rx-array-carrier&gt;</v>
      </c>
    </row>
    <row r="149" spans="1:1" x14ac:dyDescent="0.25">
      <c r="A149" s="32" t="str">
        <f>"          &lt;low-level-rx-endpoint&gt;"&amp;'Control-Sheet'!$K36&amp;"&lt;/low-level-rx-endpoint&gt;"</f>
        <v xml:space="preserve">          &lt;low-level-rx-endpoint&gt;llre_0_0_0_2_0_0&lt;/low-level-rx-endpoint&gt;</v>
      </c>
    </row>
    <row r="150" spans="1:1" x14ac:dyDescent="0.25">
      <c r="A150" s="3" t="s">
        <v>29</v>
      </c>
    </row>
    <row r="153" spans="1:1" x14ac:dyDescent="0.25">
      <c r="A153" s="1" t="s">
        <v>9</v>
      </c>
    </row>
    <row r="154" spans="1:1" x14ac:dyDescent="0.25">
      <c r="A154" s="8" t="str">
        <f>"            &lt;name&gt;"&amp;'Control-Sheet'!$C37&amp;"&lt;/name&gt;"</f>
        <v xml:space="preserve">            &lt;name&gt;llre_0_0_1_2_0_0&lt;/name&gt;</v>
      </c>
    </row>
    <row r="155" spans="1:1" x14ac:dyDescent="0.25">
      <c r="A155" s="1" t="s">
        <v>10</v>
      </c>
    </row>
    <row r="156" spans="1:1" x14ac:dyDescent="0.25">
      <c r="A156" s="1" t="s">
        <v>11</v>
      </c>
    </row>
    <row r="157" spans="1:1" x14ac:dyDescent="0.25">
      <c r="A157" s="1" t="s">
        <v>12</v>
      </c>
    </row>
    <row r="158" spans="1:1" x14ac:dyDescent="0.25">
      <c r="A158" s="1" t="s">
        <v>13</v>
      </c>
    </row>
    <row r="159" spans="1:1" x14ac:dyDescent="0.25">
      <c r="A159" s="1" t="s">
        <v>14</v>
      </c>
    </row>
    <row r="160" spans="1:1" x14ac:dyDescent="0.25">
      <c r="A160" s="1" t="s">
        <v>15</v>
      </c>
    </row>
    <row r="161" spans="1:1" x14ac:dyDescent="0.25">
      <c r="A161" s="1" t="s">
        <v>16</v>
      </c>
    </row>
    <row r="162" spans="1:1" x14ac:dyDescent="0.25">
      <c r="A162" s="1" t="s">
        <v>17</v>
      </c>
    </row>
    <row r="163" spans="1:1" x14ac:dyDescent="0.25">
      <c r="A163" s="1" t="s">
        <v>18</v>
      </c>
    </row>
    <row r="164" spans="1:1" x14ac:dyDescent="0.25">
      <c r="A164" s="1" t="s">
        <v>30</v>
      </c>
    </row>
    <row r="165" spans="1:1" x14ac:dyDescent="0.25">
      <c r="A165" s="8" t="str">
        <f>"            &lt;scs&gt;"&amp;'Control-Sheet'!$D37&amp;"&lt;/scs&gt;"</f>
        <v xml:space="preserve">            &lt;scs&gt;KHZ_15&lt;/scs&gt;</v>
      </c>
    </row>
    <row r="166" spans="1:1" x14ac:dyDescent="0.25">
      <c r="A166" s="8" t="str">
        <f>"            &lt;number-of-prb&gt;"&amp;'Control-Sheet'!$E37&amp;"&lt;/number-of-prb&gt;"</f>
        <v xml:space="preserve">            &lt;number-of-prb&gt;106&lt;/number-of-prb&gt;</v>
      </c>
    </row>
    <row r="167" spans="1:1" x14ac:dyDescent="0.25">
      <c r="A167" s="1" t="s">
        <v>31</v>
      </c>
    </row>
    <row r="168" spans="1:1" x14ac:dyDescent="0.25">
      <c r="A168" s="1" t="s">
        <v>19</v>
      </c>
    </row>
    <row r="169" spans="1:1" x14ac:dyDescent="0.25">
      <c r="A169" s="8" t="str">
        <f>"            &lt;scs&gt;"&amp;'Control-Sheet'!$D37&amp;"&lt;/scs&gt;"</f>
        <v xml:space="preserve">            &lt;scs&gt;KHZ_15&lt;/scs&gt;</v>
      </c>
    </row>
    <row r="170" spans="1:1" x14ac:dyDescent="0.25">
      <c r="A170" s="8" t="str">
        <f>"            &lt;ul-fft-sampling-offset&gt;"&amp;'Control-Sheet'!$F37&amp;"&lt;/ul-fft-sampling-offset&gt;"</f>
        <v xml:space="preserve">            &lt;ul-fft-sampling-offset&gt;0&lt;/ul-fft-sampling-offset&gt;</v>
      </c>
    </row>
    <row r="171" spans="1:1" x14ac:dyDescent="0.25">
      <c r="A171" s="1" t="s">
        <v>20</v>
      </c>
    </row>
    <row r="172" spans="1:1" x14ac:dyDescent="0.25">
      <c r="A172" s="1" t="s">
        <v>21</v>
      </c>
    </row>
    <row r="173" spans="1:1" x14ac:dyDescent="0.25">
      <c r="A173" s="1" t="s">
        <v>22</v>
      </c>
    </row>
    <row r="174" spans="1:1" x14ac:dyDescent="0.25">
      <c r="A174" s="1" t="s">
        <v>23</v>
      </c>
    </row>
    <row r="175" spans="1:1" x14ac:dyDescent="0.25">
      <c r="A175" s="1" t="s">
        <v>24</v>
      </c>
    </row>
    <row r="176" spans="1:1" x14ac:dyDescent="0.25">
      <c r="A176" s="1" t="s">
        <v>25</v>
      </c>
    </row>
    <row r="177" spans="1:1" x14ac:dyDescent="0.25">
      <c r="A177" s="8" t="str">
        <f>"            &lt;eaxc-id&gt;"&amp;'Control-Sheet'!$G37&amp;"&lt;/eaxc-id&gt;"</f>
        <v xml:space="preserve">            &lt;eaxc-id&gt;21&lt;/eaxc-id&gt;</v>
      </c>
    </row>
    <row r="178" spans="1:1" x14ac:dyDescent="0.25">
      <c r="A178" s="1" t="s">
        <v>26</v>
      </c>
    </row>
    <row r="179" spans="1:1" x14ac:dyDescent="0.25">
      <c r="A179" s="1" t="s">
        <v>27</v>
      </c>
    </row>
    <row r="180" spans="1:1" x14ac:dyDescent="0.25">
      <c r="A180" s="2" t="s">
        <v>174</v>
      </c>
    </row>
    <row r="181" spans="1:1" x14ac:dyDescent="0.25">
      <c r="A181" s="30" t="str">
        <f>"          &lt;name&gt;"&amp;'Control-Sheet'!$L37&amp;"&lt;/name&gt;"</f>
        <v xml:space="preserve">          &lt;name&gt;rac_0_0_1_2&lt;/name&gt;</v>
      </c>
    </row>
    <row r="182" spans="1:1" x14ac:dyDescent="0.25">
      <c r="A182" s="2" t="s">
        <v>167</v>
      </c>
    </row>
    <row r="183" spans="1:1" x14ac:dyDescent="0.25">
      <c r="A183" s="30" t="str">
        <f>"          &lt;center-of-channel-bandwidth&gt;"&amp;'Control-Sheet'!$M37*10^6&amp;"&lt;/center-of-channel-bandwidth&gt;"</f>
        <v xml:space="preserve">          &lt;center-of-channel-bandwidth&gt;3445000000&lt;/center-of-channel-bandwidth&gt;</v>
      </c>
    </row>
    <row r="184" spans="1:1" x14ac:dyDescent="0.25">
      <c r="A184" s="30" t="str">
        <f>"          &lt;channel-bandwidth&gt;"&amp;'Control-Sheet'!$N37*10^6&amp;"&lt;/channel-bandwidth&gt;"</f>
        <v xml:space="preserve">          &lt;channel-bandwidth&gt;10000000&lt;/channel-bandwidth&gt;</v>
      </c>
    </row>
    <row r="185" spans="1:1" x14ac:dyDescent="0.25">
      <c r="A185" s="2" t="s">
        <v>168</v>
      </c>
    </row>
    <row r="186" spans="1:1" x14ac:dyDescent="0.25">
      <c r="A186" s="30" t="str">
        <f>"          &lt;type&gt;"&amp;'Control-Sheet'!$O37&amp;"&lt;/type&gt;"</f>
        <v xml:space="preserve">          &lt;type&gt;NR&lt;/type&gt;</v>
      </c>
    </row>
    <row r="187" spans="1:1" x14ac:dyDescent="0.25">
      <c r="A187" s="30" t="str">
        <f>"          &lt;n-ta-offset&gt;"&amp;'Control-Sheet'!$P37&amp;"&lt;/n-ta-offset&gt;"</f>
        <v xml:space="preserve">          &lt;n-ta-offset&gt;25600&lt;/n-ta-offset&gt;</v>
      </c>
    </row>
    <row r="188" spans="1:1" x14ac:dyDescent="0.25">
      <c r="A188" s="2" t="s">
        <v>175</v>
      </c>
    </row>
    <row r="189" spans="1:1" x14ac:dyDescent="0.25">
      <c r="A189" s="2" t="s">
        <v>169</v>
      </c>
    </row>
    <row r="190" spans="1:1" x14ac:dyDescent="0.25">
      <c r="A190" s="2" t="s">
        <v>170</v>
      </c>
    </row>
    <row r="191" spans="1:1" x14ac:dyDescent="0.25">
      <c r="A191" s="2" t="s">
        <v>176</v>
      </c>
    </row>
    <row r="192" spans="1:1" x14ac:dyDescent="0.25">
      <c r="A192" s="3" t="s">
        <v>28</v>
      </c>
    </row>
    <row r="193" spans="1:1" x14ac:dyDescent="0.25">
      <c r="A193" s="32" t="str">
        <f>"          &lt;name&gt;"&amp;'Control-Sheet'!$H37&amp;"&lt;/name&gt;"</f>
        <v xml:space="preserve">          &lt;name&gt;llre_0_0_1_2_0_0&lt;/name&gt;</v>
      </c>
    </row>
    <row r="194" spans="1:1" x14ac:dyDescent="0.25">
      <c r="A194" s="32" t="str">
        <f>"          &lt;processing-element&gt;"&amp;'Control-Sheet'!$I37&amp;"&lt;/processing-element&gt;"</f>
        <v xml:space="preserve">          &lt;processing-element&gt;ru-pe.0&lt;/processing-element&gt;</v>
      </c>
    </row>
    <row r="195" spans="1:1" x14ac:dyDescent="0.25">
      <c r="A195" s="32" t="str">
        <f>"          &lt;rx-array-carrier&gt;"&amp;'Control-Sheet'!$J37&amp;"&lt;/rx-array-carrier&gt;"</f>
        <v xml:space="preserve">          &lt;rx-array-carrier&gt;rac_0_0_1_2&lt;/rx-array-carrier&gt;</v>
      </c>
    </row>
    <row r="196" spans="1:1" x14ac:dyDescent="0.25">
      <c r="A196" s="32" t="str">
        <f>"          &lt;low-level-rx-endpoint&gt;"&amp;'Control-Sheet'!$K37&amp;"&lt;/low-level-rx-endpoint&gt;"</f>
        <v xml:space="preserve">          &lt;low-level-rx-endpoint&gt;llre_0_0_1_2_0_0&lt;/low-level-rx-endpoint&gt;</v>
      </c>
    </row>
    <row r="197" spans="1:1" x14ac:dyDescent="0.25">
      <c r="A197" s="3" t="s">
        <v>29</v>
      </c>
    </row>
    <row r="200" spans="1:1" x14ac:dyDescent="0.25">
      <c r="A200" s="1" t="s">
        <v>9</v>
      </c>
    </row>
    <row r="201" spans="1:1" x14ac:dyDescent="0.25">
      <c r="A201" s="8" t="str">
        <f>"            &lt;name&gt;"&amp;'Control-Sheet'!$C38&amp;"&lt;/name&gt;"</f>
        <v xml:space="preserve">            &lt;name&gt;llre_0_0_0_3_0_0&lt;/name&gt;</v>
      </c>
    </row>
    <row r="202" spans="1:1" x14ac:dyDescent="0.25">
      <c r="A202" s="1" t="s">
        <v>10</v>
      </c>
    </row>
    <row r="203" spans="1:1" x14ac:dyDescent="0.25">
      <c r="A203" s="1" t="s">
        <v>11</v>
      </c>
    </row>
    <row r="204" spans="1:1" x14ac:dyDescent="0.25">
      <c r="A204" s="1" t="s">
        <v>12</v>
      </c>
    </row>
    <row r="205" spans="1:1" x14ac:dyDescent="0.25">
      <c r="A205" s="1" t="s">
        <v>13</v>
      </c>
    </row>
    <row r="206" spans="1:1" x14ac:dyDescent="0.25">
      <c r="A206" s="1" t="s">
        <v>14</v>
      </c>
    </row>
    <row r="207" spans="1:1" x14ac:dyDescent="0.25">
      <c r="A207" s="1" t="s">
        <v>15</v>
      </c>
    </row>
    <row r="208" spans="1:1" x14ac:dyDescent="0.25">
      <c r="A208" s="1" t="s">
        <v>16</v>
      </c>
    </row>
    <row r="209" spans="1:1" x14ac:dyDescent="0.25">
      <c r="A209" s="1" t="s">
        <v>17</v>
      </c>
    </row>
    <row r="210" spans="1:1" x14ac:dyDescent="0.25">
      <c r="A210" s="1" t="s">
        <v>18</v>
      </c>
    </row>
    <row r="211" spans="1:1" x14ac:dyDescent="0.25">
      <c r="A211" s="1" t="s">
        <v>30</v>
      </c>
    </row>
    <row r="212" spans="1:1" x14ac:dyDescent="0.25">
      <c r="A212" s="8" t="str">
        <f>"            &lt;scs&gt;"&amp;'Control-Sheet'!$D38&amp;"&lt;/scs&gt;"</f>
        <v xml:space="preserve">            &lt;scs&gt;KHZ_15&lt;/scs&gt;</v>
      </c>
    </row>
    <row r="213" spans="1:1" x14ac:dyDescent="0.25">
      <c r="A213" s="8" t="str">
        <f>"            &lt;number-of-prb&gt;"&amp;'Control-Sheet'!$E38&amp;"&lt;/number-of-prb&gt;"</f>
        <v xml:space="preserve">            &lt;number-of-prb&gt;106&lt;/number-of-prb&gt;</v>
      </c>
    </row>
    <row r="214" spans="1:1" x14ac:dyDescent="0.25">
      <c r="A214" s="1" t="s">
        <v>31</v>
      </c>
    </row>
    <row r="215" spans="1:1" x14ac:dyDescent="0.25">
      <c r="A215" s="1" t="s">
        <v>19</v>
      </c>
    </row>
    <row r="216" spans="1:1" x14ac:dyDescent="0.25">
      <c r="A216" s="8" t="str">
        <f>"            &lt;scs&gt;"&amp;'Control-Sheet'!$D38&amp;"&lt;/scs&gt;"</f>
        <v xml:space="preserve">            &lt;scs&gt;KHZ_15&lt;/scs&gt;</v>
      </c>
    </row>
    <row r="217" spans="1:1" x14ac:dyDescent="0.25">
      <c r="A217" s="8" t="str">
        <f>"            &lt;ul-fft-sampling-offset&gt;"&amp;'Control-Sheet'!$F38&amp;"&lt;/ul-fft-sampling-offset&gt;"</f>
        <v xml:space="preserve">            &lt;ul-fft-sampling-offset&gt;0&lt;/ul-fft-sampling-offset&gt;</v>
      </c>
    </row>
    <row r="218" spans="1:1" x14ac:dyDescent="0.25">
      <c r="A218" s="1" t="s">
        <v>20</v>
      </c>
    </row>
    <row r="219" spans="1:1" x14ac:dyDescent="0.25">
      <c r="A219" s="1" t="s">
        <v>21</v>
      </c>
    </row>
    <row r="220" spans="1:1" x14ac:dyDescent="0.25">
      <c r="A220" s="1" t="s">
        <v>22</v>
      </c>
    </row>
    <row r="221" spans="1:1" x14ac:dyDescent="0.25">
      <c r="A221" s="1" t="s">
        <v>23</v>
      </c>
    </row>
    <row r="222" spans="1:1" x14ac:dyDescent="0.25">
      <c r="A222" s="1" t="s">
        <v>24</v>
      </c>
    </row>
    <row r="223" spans="1:1" x14ac:dyDescent="0.25">
      <c r="A223" s="1" t="s">
        <v>25</v>
      </c>
    </row>
    <row r="224" spans="1:1" x14ac:dyDescent="0.25">
      <c r="A224" s="8" t="str">
        <f>"            &lt;eaxc-id&gt;"&amp;'Control-Sheet'!$G38&amp;"&lt;/eaxc-id&gt;"</f>
        <v xml:space="preserve">            &lt;eaxc-id&gt;22&lt;/eaxc-id&gt;</v>
      </c>
    </row>
    <row r="225" spans="1:1" x14ac:dyDescent="0.25">
      <c r="A225" s="1" t="s">
        <v>26</v>
      </c>
    </row>
    <row r="226" spans="1:1" x14ac:dyDescent="0.25">
      <c r="A226" s="1" t="s">
        <v>27</v>
      </c>
    </row>
    <row r="227" spans="1:1" x14ac:dyDescent="0.25">
      <c r="A227" s="2" t="s">
        <v>174</v>
      </c>
    </row>
    <row r="228" spans="1:1" x14ac:dyDescent="0.25">
      <c r="A228" s="30" t="str">
        <f>"          &lt;name&gt;"&amp;'Control-Sheet'!$L38&amp;"&lt;/name&gt;"</f>
        <v xml:space="preserve">          &lt;name&gt;rac_0_0_0_3&lt;/name&gt;</v>
      </c>
    </row>
    <row r="229" spans="1:1" x14ac:dyDescent="0.25">
      <c r="A229" s="2" t="s">
        <v>167</v>
      </c>
    </row>
    <row r="230" spans="1:1" x14ac:dyDescent="0.25">
      <c r="A230" s="30" t="str">
        <f>"          &lt;center-of-channel-bandwidth&gt;"&amp;'Control-Sheet'!$M38*10^6&amp;"&lt;/center-of-channel-bandwidth&gt;"</f>
        <v xml:space="preserve">          &lt;center-of-channel-bandwidth&gt;3415000000&lt;/center-of-channel-bandwidth&gt;</v>
      </c>
    </row>
    <row r="231" spans="1:1" x14ac:dyDescent="0.25">
      <c r="A231" s="30" t="str">
        <f>"          &lt;channel-bandwidth&gt;"&amp;'Control-Sheet'!$N38*10^6&amp;"&lt;/channel-bandwidth&gt;"</f>
        <v xml:space="preserve">          &lt;channel-bandwidth&gt;10000000&lt;/channel-bandwidth&gt;</v>
      </c>
    </row>
    <row r="232" spans="1:1" x14ac:dyDescent="0.25">
      <c r="A232" s="2" t="s">
        <v>168</v>
      </c>
    </row>
    <row r="233" spans="1:1" x14ac:dyDescent="0.25">
      <c r="A233" s="30" t="str">
        <f>"          &lt;type&gt;"&amp;'Control-Sheet'!$O38&amp;"&lt;/type&gt;"</f>
        <v xml:space="preserve">          &lt;type&gt;NR&lt;/type&gt;</v>
      </c>
    </row>
    <row r="234" spans="1:1" x14ac:dyDescent="0.25">
      <c r="A234" s="30" t="str">
        <f>"          &lt;n-ta-offset&gt;"&amp;'Control-Sheet'!$P38&amp;"&lt;/n-ta-offset&gt;"</f>
        <v xml:space="preserve">          &lt;n-ta-offset&gt;25600&lt;/n-ta-offset&gt;</v>
      </c>
    </row>
    <row r="235" spans="1:1" x14ac:dyDescent="0.25">
      <c r="A235" s="2" t="s">
        <v>175</v>
      </c>
    </row>
    <row r="236" spans="1:1" x14ac:dyDescent="0.25">
      <c r="A236" s="2" t="s">
        <v>169</v>
      </c>
    </row>
    <row r="237" spans="1:1" x14ac:dyDescent="0.25">
      <c r="A237" s="2" t="s">
        <v>170</v>
      </c>
    </row>
    <row r="238" spans="1:1" x14ac:dyDescent="0.25">
      <c r="A238" s="2" t="s">
        <v>176</v>
      </c>
    </row>
    <row r="239" spans="1:1" x14ac:dyDescent="0.25">
      <c r="A239" s="3" t="s">
        <v>28</v>
      </c>
    </row>
    <row r="240" spans="1:1" x14ac:dyDescent="0.25">
      <c r="A240" s="32" t="str">
        <f>"          &lt;name&gt;"&amp;'Control-Sheet'!$H38&amp;"&lt;/name&gt;"</f>
        <v xml:space="preserve">          &lt;name&gt;llre_0_0_0_3_0_0&lt;/name&gt;</v>
      </c>
    </row>
    <row r="241" spans="1:1" x14ac:dyDescent="0.25">
      <c r="A241" s="32" t="str">
        <f>"          &lt;processing-element&gt;"&amp;'Control-Sheet'!$I38&amp;"&lt;/processing-element&gt;"</f>
        <v xml:space="preserve">          &lt;processing-element&gt;ru-pe.0&lt;/processing-element&gt;</v>
      </c>
    </row>
    <row r="242" spans="1:1" x14ac:dyDescent="0.25">
      <c r="A242" s="32" t="str">
        <f>"          &lt;rx-array-carrier&gt;"&amp;'Control-Sheet'!$J38&amp;"&lt;/rx-array-carrier&gt;"</f>
        <v xml:space="preserve">          &lt;rx-array-carrier&gt;rac_0_0_0_3&lt;/rx-array-carrier&gt;</v>
      </c>
    </row>
    <row r="243" spans="1:1" x14ac:dyDescent="0.25">
      <c r="A243" s="32" t="str">
        <f>"          &lt;low-level-rx-endpoint&gt;"&amp;'Control-Sheet'!$K38&amp;"&lt;/low-level-rx-endpoint&gt;"</f>
        <v xml:space="preserve">          &lt;low-level-rx-endpoint&gt;llre_0_0_0_3_0_0&lt;/low-level-rx-endpoint&gt;</v>
      </c>
    </row>
    <row r="244" spans="1:1" x14ac:dyDescent="0.25">
      <c r="A244" s="3" t="s">
        <v>29</v>
      </c>
    </row>
    <row r="247" spans="1:1" x14ac:dyDescent="0.25">
      <c r="A247" s="1" t="s">
        <v>9</v>
      </c>
    </row>
    <row r="248" spans="1:1" x14ac:dyDescent="0.25">
      <c r="A248" s="8" t="str">
        <f>"            &lt;name&gt;"&amp;'Control-Sheet'!$C39&amp;"&lt;/name&gt;"</f>
        <v xml:space="preserve">            &lt;name&gt;llre_0_0_1_3_0_0&lt;/name&gt;</v>
      </c>
    </row>
    <row r="249" spans="1:1" x14ac:dyDescent="0.25">
      <c r="A249" s="1" t="s">
        <v>10</v>
      </c>
    </row>
    <row r="250" spans="1:1" x14ac:dyDescent="0.25">
      <c r="A250" s="1" t="s">
        <v>11</v>
      </c>
    </row>
    <row r="251" spans="1:1" x14ac:dyDescent="0.25">
      <c r="A251" s="1" t="s">
        <v>12</v>
      </c>
    </row>
    <row r="252" spans="1:1" x14ac:dyDescent="0.25">
      <c r="A252" s="1" t="s">
        <v>13</v>
      </c>
    </row>
    <row r="253" spans="1:1" x14ac:dyDescent="0.25">
      <c r="A253" s="1" t="s">
        <v>14</v>
      </c>
    </row>
    <row r="254" spans="1:1" x14ac:dyDescent="0.25">
      <c r="A254" s="1" t="s">
        <v>15</v>
      </c>
    </row>
    <row r="255" spans="1:1" x14ac:dyDescent="0.25">
      <c r="A255" s="1" t="s">
        <v>16</v>
      </c>
    </row>
    <row r="256" spans="1:1" x14ac:dyDescent="0.25">
      <c r="A256" s="1" t="s">
        <v>17</v>
      </c>
    </row>
    <row r="257" spans="1:1" x14ac:dyDescent="0.25">
      <c r="A257" s="1" t="s">
        <v>18</v>
      </c>
    </row>
    <row r="258" spans="1:1" x14ac:dyDescent="0.25">
      <c r="A258" s="1" t="s">
        <v>30</v>
      </c>
    </row>
    <row r="259" spans="1:1" x14ac:dyDescent="0.25">
      <c r="A259" s="8" t="str">
        <f>"            &lt;scs&gt;"&amp;'Control-Sheet'!$D39&amp;"&lt;/scs&gt;"</f>
        <v xml:space="preserve">            &lt;scs&gt;KHZ_15&lt;/scs&gt;</v>
      </c>
    </row>
    <row r="260" spans="1:1" x14ac:dyDescent="0.25">
      <c r="A260" s="8" t="str">
        <f>"            &lt;number-of-prb&gt;"&amp;'Control-Sheet'!$E39&amp;"&lt;/number-of-prb&gt;"</f>
        <v xml:space="preserve">            &lt;number-of-prb&gt;106&lt;/number-of-prb&gt;</v>
      </c>
    </row>
    <row r="261" spans="1:1" x14ac:dyDescent="0.25">
      <c r="A261" s="1" t="s">
        <v>31</v>
      </c>
    </row>
    <row r="262" spans="1:1" x14ac:dyDescent="0.25">
      <c r="A262" s="1" t="s">
        <v>19</v>
      </c>
    </row>
    <row r="263" spans="1:1" x14ac:dyDescent="0.25">
      <c r="A263" s="8" t="str">
        <f>"            &lt;scs&gt;"&amp;'Control-Sheet'!$D39&amp;"&lt;/scs&gt;"</f>
        <v xml:space="preserve">            &lt;scs&gt;KHZ_15&lt;/scs&gt;</v>
      </c>
    </row>
    <row r="264" spans="1:1" x14ac:dyDescent="0.25">
      <c r="A264" s="8" t="str">
        <f>"            &lt;ul-fft-sampling-offset&gt;"&amp;'Control-Sheet'!$F39&amp;"&lt;/ul-fft-sampling-offset&gt;"</f>
        <v xml:space="preserve">            &lt;ul-fft-sampling-offset&gt;0&lt;/ul-fft-sampling-offset&gt;</v>
      </c>
    </row>
    <row r="265" spans="1:1" x14ac:dyDescent="0.25">
      <c r="A265" s="1" t="s">
        <v>20</v>
      </c>
    </row>
    <row r="266" spans="1:1" x14ac:dyDescent="0.25">
      <c r="A266" s="1" t="s">
        <v>21</v>
      </c>
    </row>
    <row r="267" spans="1:1" x14ac:dyDescent="0.25">
      <c r="A267" s="1" t="s">
        <v>22</v>
      </c>
    </row>
    <row r="268" spans="1:1" x14ac:dyDescent="0.25">
      <c r="A268" s="1" t="s">
        <v>23</v>
      </c>
    </row>
    <row r="269" spans="1:1" x14ac:dyDescent="0.25">
      <c r="A269" s="1" t="s">
        <v>24</v>
      </c>
    </row>
    <row r="270" spans="1:1" x14ac:dyDescent="0.25">
      <c r="A270" s="1" t="s">
        <v>25</v>
      </c>
    </row>
    <row r="271" spans="1:1" x14ac:dyDescent="0.25">
      <c r="A271" s="8" t="str">
        <f>"            &lt;eaxc-id&gt;"&amp;'Control-Sheet'!$G39&amp;"&lt;/eaxc-id&gt;"</f>
        <v xml:space="preserve">            &lt;eaxc-id&gt;23&lt;/eaxc-id&gt;</v>
      </c>
    </row>
    <row r="272" spans="1:1" x14ac:dyDescent="0.25">
      <c r="A272" s="1" t="s">
        <v>26</v>
      </c>
    </row>
    <row r="273" spans="1:1" x14ac:dyDescent="0.25">
      <c r="A273" s="1" t="s">
        <v>27</v>
      </c>
    </row>
    <row r="274" spans="1:1" x14ac:dyDescent="0.25">
      <c r="A274" s="2" t="s">
        <v>174</v>
      </c>
    </row>
    <row r="275" spans="1:1" x14ac:dyDescent="0.25">
      <c r="A275" s="30" t="str">
        <f>"          &lt;name&gt;"&amp;'Control-Sheet'!$L39&amp;"&lt;/name&gt;"</f>
        <v xml:space="preserve">          &lt;name&gt;rac_0_0_1_3&lt;/name&gt;</v>
      </c>
    </row>
    <row r="276" spans="1:1" x14ac:dyDescent="0.25">
      <c r="A276" s="2" t="s">
        <v>167</v>
      </c>
    </row>
    <row r="277" spans="1:1" x14ac:dyDescent="0.25">
      <c r="A277" s="30" t="str">
        <f>"          &lt;center-of-channel-bandwidth&gt;"&amp;'Control-Sheet'!$M39*10^6&amp;"&lt;/center-of-channel-bandwidth&gt;"</f>
        <v xml:space="preserve">          &lt;center-of-channel-bandwidth&gt;3445000000&lt;/center-of-channel-bandwidth&gt;</v>
      </c>
    </row>
    <row r="278" spans="1:1" x14ac:dyDescent="0.25">
      <c r="A278" s="30" t="str">
        <f>"          &lt;channel-bandwidth&gt;"&amp;'Control-Sheet'!$N39*10^6&amp;"&lt;/channel-bandwidth&gt;"</f>
        <v xml:space="preserve">          &lt;channel-bandwidth&gt;10000000&lt;/channel-bandwidth&gt;</v>
      </c>
    </row>
    <row r="279" spans="1:1" x14ac:dyDescent="0.25">
      <c r="A279" s="2" t="s">
        <v>168</v>
      </c>
    </row>
    <row r="280" spans="1:1" x14ac:dyDescent="0.25">
      <c r="A280" s="30" t="str">
        <f>"          &lt;type&gt;"&amp;'Control-Sheet'!$O39&amp;"&lt;/type&gt;"</f>
        <v xml:space="preserve">          &lt;type&gt;NR&lt;/type&gt;</v>
      </c>
    </row>
    <row r="281" spans="1:1" x14ac:dyDescent="0.25">
      <c r="A281" s="30" t="str">
        <f>"          &lt;n-ta-offset&gt;"&amp;'Control-Sheet'!$P39&amp;"&lt;/n-ta-offset&gt;"</f>
        <v xml:space="preserve">          &lt;n-ta-offset&gt;25600&lt;/n-ta-offset&gt;</v>
      </c>
    </row>
    <row r="282" spans="1:1" x14ac:dyDescent="0.25">
      <c r="A282" s="2" t="s">
        <v>175</v>
      </c>
    </row>
    <row r="283" spans="1:1" x14ac:dyDescent="0.25">
      <c r="A283" s="2" t="s">
        <v>169</v>
      </c>
    </row>
    <row r="284" spans="1:1" x14ac:dyDescent="0.25">
      <c r="A284" s="2" t="s">
        <v>170</v>
      </c>
    </row>
    <row r="285" spans="1:1" x14ac:dyDescent="0.25">
      <c r="A285" s="2" t="s">
        <v>176</v>
      </c>
    </row>
    <row r="286" spans="1:1" x14ac:dyDescent="0.25">
      <c r="A286" s="3" t="s">
        <v>28</v>
      </c>
    </row>
    <row r="287" spans="1:1" x14ac:dyDescent="0.25">
      <c r="A287" s="32" t="str">
        <f>"          &lt;name&gt;"&amp;'Control-Sheet'!$H39&amp;"&lt;/name&gt;"</f>
        <v xml:space="preserve">          &lt;name&gt;llre_0_0_1_3_0_0&lt;/name&gt;</v>
      </c>
    </row>
    <row r="288" spans="1:1" x14ac:dyDescent="0.25">
      <c r="A288" s="32" t="str">
        <f>"          &lt;processing-element&gt;"&amp;'Control-Sheet'!$I39&amp;"&lt;/processing-element&gt;"</f>
        <v xml:space="preserve">          &lt;processing-element&gt;ru-pe.0&lt;/processing-element&gt;</v>
      </c>
    </row>
    <row r="289" spans="1:1" x14ac:dyDescent="0.25">
      <c r="A289" s="32" t="str">
        <f>"          &lt;rx-array-carrier&gt;"&amp;'Control-Sheet'!$J39&amp;"&lt;/rx-array-carrier&gt;"</f>
        <v xml:space="preserve">          &lt;rx-array-carrier&gt;rac_0_0_1_3&lt;/rx-array-carrier&gt;</v>
      </c>
    </row>
    <row r="290" spans="1:1" x14ac:dyDescent="0.25">
      <c r="A290" s="32" t="str">
        <f>"          &lt;low-level-rx-endpoint&gt;"&amp;'Control-Sheet'!$K39&amp;"&lt;/low-level-rx-endpoint&gt;"</f>
        <v xml:space="preserve">          &lt;low-level-rx-endpoint&gt;llre_0_0_1_3_0_0&lt;/low-level-rx-endpoint&gt;</v>
      </c>
    </row>
    <row r="291" spans="1:1" x14ac:dyDescent="0.25">
      <c r="A291" s="3" t="s">
        <v>29</v>
      </c>
    </row>
    <row r="294" spans="1:1" x14ac:dyDescent="0.25">
      <c r="A294" s="1" t="s">
        <v>9</v>
      </c>
    </row>
    <row r="295" spans="1:1" x14ac:dyDescent="0.25">
      <c r="A295" s="8" t="str">
        <f>"            &lt;name&gt;"&amp;'Control-Sheet'!$C40&amp;"&lt;/name&gt;"</f>
        <v xml:space="preserve">            &lt;name&gt;llre_0_0_0_4_0_0&lt;/name&gt;</v>
      </c>
    </row>
    <row r="296" spans="1:1" x14ac:dyDescent="0.25">
      <c r="A296" s="1" t="s">
        <v>10</v>
      </c>
    </row>
    <row r="297" spans="1:1" x14ac:dyDescent="0.25">
      <c r="A297" s="1" t="s">
        <v>11</v>
      </c>
    </row>
    <row r="298" spans="1:1" x14ac:dyDescent="0.25">
      <c r="A298" s="1" t="s">
        <v>12</v>
      </c>
    </row>
    <row r="299" spans="1:1" x14ac:dyDescent="0.25">
      <c r="A299" s="1" t="s">
        <v>13</v>
      </c>
    </row>
    <row r="300" spans="1:1" x14ac:dyDescent="0.25">
      <c r="A300" s="1" t="s">
        <v>14</v>
      </c>
    </row>
    <row r="301" spans="1:1" x14ac:dyDescent="0.25">
      <c r="A301" s="1" t="s">
        <v>15</v>
      </c>
    </row>
    <row r="302" spans="1:1" x14ac:dyDescent="0.25">
      <c r="A302" s="1" t="s">
        <v>16</v>
      </c>
    </row>
    <row r="303" spans="1:1" x14ac:dyDescent="0.25">
      <c r="A303" s="1" t="s">
        <v>17</v>
      </c>
    </row>
    <row r="304" spans="1:1" x14ac:dyDescent="0.25">
      <c r="A304" s="1" t="s">
        <v>18</v>
      </c>
    </row>
    <row r="305" spans="1:1" x14ac:dyDescent="0.25">
      <c r="A305" s="1" t="s">
        <v>30</v>
      </c>
    </row>
    <row r="306" spans="1:1" x14ac:dyDescent="0.25">
      <c r="A306" s="8" t="str">
        <f>"            &lt;scs&gt;"&amp;'Control-Sheet'!$D40&amp;"&lt;/scs&gt;"</f>
        <v xml:space="preserve">            &lt;scs&gt;KHZ_15&lt;/scs&gt;</v>
      </c>
    </row>
    <row r="307" spans="1:1" x14ac:dyDescent="0.25">
      <c r="A307" s="8" t="str">
        <f>"            &lt;number-of-prb&gt;"&amp;'Control-Sheet'!$E40&amp;"&lt;/number-of-prb&gt;"</f>
        <v xml:space="preserve">            &lt;number-of-prb&gt;106&lt;/number-of-prb&gt;</v>
      </c>
    </row>
    <row r="308" spans="1:1" x14ac:dyDescent="0.25">
      <c r="A308" s="1" t="s">
        <v>31</v>
      </c>
    </row>
    <row r="309" spans="1:1" x14ac:dyDescent="0.25">
      <c r="A309" s="1" t="s">
        <v>19</v>
      </c>
    </row>
    <row r="310" spans="1:1" x14ac:dyDescent="0.25">
      <c r="A310" s="8" t="str">
        <f>"            &lt;scs&gt;"&amp;'Control-Sheet'!$D40&amp;"&lt;/scs&gt;"</f>
        <v xml:space="preserve">            &lt;scs&gt;KHZ_15&lt;/scs&gt;</v>
      </c>
    </row>
    <row r="311" spans="1:1" x14ac:dyDescent="0.25">
      <c r="A311" s="8" t="str">
        <f>"            &lt;ul-fft-sampling-offset&gt;"&amp;'Control-Sheet'!$F40&amp;"&lt;/ul-fft-sampling-offset&gt;"</f>
        <v xml:space="preserve">            &lt;ul-fft-sampling-offset&gt;0&lt;/ul-fft-sampling-offset&gt;</v>
      </c>
    </row>
    <row r="312" spans="1:1" x14ac:dyDescent="0.25">
      <c r="A312" s="1" t="s">
        <v>20</v>
      </c>
    </row>
    <row r="313" spans="1:1" x14ac:dyDescent="0.25">
      <c r="A313" s="1" t="s">
        <v>21</v>
      </c>
    </row>
    <row r="314" spans="1:1" x14ac:dyDescent="0.25">
      <c r="A314" s="1" t="s">
        <v>22</v>
      </c>
    </row>
    <row r="315" spans="1:1" x14ac:dyDescent="0.25">
      <c r="A315" s="1" t="s">
        <v>23</v>
      </c>
    </row>
    <row r="316" spans="1:1" x14ac:dyDescent="0.25">
      <c r="A316" s="1" t="s">
        <v>24</v>
      </c>
    </row>
    <row r="317" spans="1:1" x14ac:dyDescent="0.25">
      <c r="A317" s="1" t="s">
        <v>25</v>
      </c>
    </row>
    <row r="318" spans="1:1" x14ac:dyDescent="0.25">
      <c r="A318" s="8" t="str">
        <f>"            &lt;eaxc-id&gt;"&amp;'Control-Sheet'!$G40&amp;"&lt;/eaxc-id&gt;"</f>
        <v xml:space="preserve">            &lt;eaxc-id&gt;24&lt;/eaxc-id&gt;</v>
      </c>
    </row>
    <row r="319" spans="1:1" x14ac:dyDescent="0.25">
      <c r="A319" s="1" t="s">
        <v>26</v>
      </c>
    </row>
    <row r="320" spans="1:1" x14ac:dyDescent="0.25">
      <c r="A320" s="1" t="s">
        <v>27</v>
      </c>
    </row>
    <row r="321" spans="1:1" x14ac:dyDescent="0.25">
      <c r="A321" s="2" t="s">
        <v>174</v>
      </c>
    </row>
    <row r="322" spans="1:1" x14ac:dyDescent="0.25">
      <c r="A322" s="30" t="str">
        <f>"          &lt;name&gt;"&amp;'Control-Sheet'!$L40&amp;"&lt;/name&gt;"</f>
        <v xml:space="preserve">          &lt;name&gt;rac_0_0_0_4&lt;/name&gt;</v>
      </c>
    </row>
    <row r="323" spans="1:1" x14ac:dyDescent="0.25">
      <c r="A323" s="2" t="s">
        <v>167</v>
      </c>
    </row>
    <row r="324" spans="1:1" x14ac:dyDescent="0.25">
      <c r="A324" s="30" t="str">
        <f>"          &lt;center-of-channel-bandwidth&gt;"&amp;'Control-Sheet'!$M40*10^6&amp;"&lt;/center-of-channel-bandwidth&gt;"</f>
        <v xml:space="preserve">          &lt;center-of-channel-bandwidth&gt;3415000000&lt;/center-of-channel-bandwidth&gt;</v>
      </c>
    </row>
    <row r="325" spans="1:1" x14ac:dyDescent="0.25">
      <c r="A325" s="30" t="str">
        <f>"          &lt;channel-bandwidth&gt;"&amp;'Control-Sheet'!$N40*10^6&amp;"&lt;/channel-bandwidth&gt;"</f>
        <v xml:space="preserve">          &lt;channel-bandwidth&gt;10000000&lt;/channel-bandwidth&gt;</v>
      </c>
    </row>
    <row r="326" spans="1:1" x14ac:dyDescent="0.25">
      <c r="A326" s="2" t="s">
        <v>168</v>
      </c>
    </row>
    <row r="327" spans="1:1" x14ac:dyDescent="0.25">
      <c r="A327" s="30" t="str">
        <f>"          &lt;type&gt;"&amp;'Control-Sheet'!$O40&amp;"&lt;/type&gt;"</f>
        <v xml:space="preserve">          &lt;type&gt;NR&lt;/type&gt;</v>
      </c>
    </row>
    <row r="328" spans="1:1" x14ac:dyDescent="0.25">
      <c r="A328" s="30" t="str">
        <f>"          &lt;n-ta-offset&gt;"&amp;'Control-Sheet'!$P40&amp;"&lt;/n-ta-offset&gt;"</f>
        <v xml:space="preserve">          &lt;n-ta-offset&gt;25600&lt;/n-ta-offset&gt;</v>
      </c>
    </row>
    <row r="329" spans="1:1" x14ac:dyDescent="0.25">
      <c r="A329" s="2" t="s">
        <v>175</v>
      </c>
    </row>
    <row r="330" spans="1:1" x14ac:dyDescent="0.25">
      <c r="A330" s="2" t="s">
        <v>169</v>
      </c>
    </row>
    <row r="331" spans="1:1" x14ac:dyDescent="0.25">
      <c r="A331" s="2" t="s">
        <v>170</v>
      </c>
    </row>
    <row r="332" spans="1:1" x14ac:dyDescent="0.25">
      <c r="A332" s="2" t="s">
        <v>176</v>
      </c>
    </row>
    <row r="333" spans="1:1" x14ac:dyDescent="0.25">
      <c r="A333" s="3" t="s">
        <v>28</v>
      </c>
    </row>
    <row r="334" spans="1:1" x14ac:dyDescent="0.25">
      <c r="A334" s="32" t="str">
        <f>"          &lt;name&gt;"&amp;'Control-Sheet'!$H40&amp;"&lt;/name&gt;"</f>
        <v xml:space="preserve">          &lt;name&gt;llre_0_0_0_4_0_0&lt;/name&gt;</v>
      </c>
    </row>
    <row r="335" spans="1:1" x14ac:dyDescent="0.25">
      <c r="A335" s="32" t="str">
        <f>"          &lt;processing-element&gt;"&amp;'Control-Sheet'!$I40&amp;"&lt;/processing-element&gt;"</f>
        <v xml:space="preserve">          &lt;processing-element&gt;ru-pe.0&lt;/processing-element&gt;</v>
      </c>
    </row>
    <row r="336" spans="1:1" x14ac:dyDescent="0.25">
      <c r="A336" s="32" t="str">
        <f>"          &lt;rx-array-carrier&gt;"&amp;'Control-Sheet'!$J40&amp;"&lt;/rx-array-carrier&gt;"</f>
        <v xml:space="preserve">          &lt;rx-array-carrier&gt;rac_0_0_0_4&lt;/rx-array-carrier&gt;</v>
      </c>
    </row>
    <row r="337" spans="1:1" x14ac:dyDescent="0.25">
      <c r="A337" s="32" t="str">
        <f>"          &lt;low-level-rx-endpoint&gt;"&amp;'Control-Sheet'!$K40&amp;"&lt;/low-level-rx-endpoint&gt;"</f>
        <v xml:space="preserve">          &lt;low-level-rx-endpoint&gt;llre_0_0_0_4_0_0&lt;/low-level-rx-endpoint&gt;</v>
      </c>
    </row>
    <row r="338" spans="1:1" x14ac:dyDescent="0.25">
      <c r="A338" s="3" t="s">
        <v>29</v>
      </c>
    </row>
    <row r="341" spans="1:1" x14ac:dyDescent="0.25">
      <c r="A341" s="1" t="s">
        <v>9</v>
      </c>
    </row>
    <row r="342" spans="1:1" x14ac:dyDescent="0.25">
      <c r="A342" s="8" t="str">
        <f>"            &lt;name&gt;"&amp;'Control-Sheet'!$C41&amp;"&lt;/name&gt;"</f>
        <v xml:space="preserve">            &lt;name&gt;llre_0_0_1_4_0_0&lt;/name&gt;</v>
      </c>
    </row>
    <row r="343" spans="1:1" x14ac:dyDescent="0.25">
      <c r="A343" s="1" t="s">
        <v>10</v>
      </c>
    </row>
    <row r="344" spans="1:1" x14ac:dyDescent="0.25">
      <c r="A344" s="1" t="s">
        <v>11</v>
      </c>
    </row>
    <row r="345" spans="1:1" x14ac:dyDescent="0.25">
      <c r="A345" s="1" t="s">
        <v>12</v>
      </c>
    </row>
    <row r="346" spans="1:1" x14ac:dyDescent="0.25">
      <c r="A346" s="1" t="s">
        <v>13</v>
      </c>
    </row>
    <row r="347" spans="1:1" x14ac:dyDescent="0.25">
      <c r="A347" s="1" t="s">
        <v>14</v>
      </c>
    </row>
    <row r="348" spans="1:1" x14ac:dyDescent="0.25">
      <c r="A348" s="1" t="s">
        <v>15</v>
      </c>
    </row>
    <row r="349" spans="1:1" x14ac:dyDescent="0.25">
      <c r="A349" s="1" t="s">
        <v>16</v>
      </c>
    </row>
    <row r="350" spans="1:1" x14ac:dyDescent="0.25">
      <c r="A350" s="1" t="s">
        <v>17</v>
      </c>
    </row>
    <row r="351" spans="1:1" x14ac:dyDescent="0.25">
      <c r="A351" s="1" t="s">
        <v>18</v>
      </c>
    </row>
    <row r="352" spans="1:1" x14ac:dyDescent="0.25">
      <c r="A352" s="1" t="s">
        <v>30</v>
      </c>
    </row>
    <row r="353" spans="1:1" x14ac:dyDescent="0.25">
      <c r="A353" s="8" t="str">
        <f>"            &lt;scs&gt;"&amp;'Control-Sheet'!$D41&amp;"&lt;/scs&gt;"</f>
        <v xml:space="preserve">            &lt;scs&gt;KHZ_15&lt;/scs&gt;</v>
      </c>
    </row>
    <row r="354" spans="1:1" x14ac:dyDescent="0.25">
      <c r="A354" s="8" t="str">
        <f>"            &lt;number-of-prb&gt;"&amp;'Control-Sheet'!$E41&amp;"&lt;/number-of-prb&gt;"</f>
        <v xml:space="preserve">            &lt;number-of-prb&gt;106&lt;/number-of-prb&gt;</v>
      </c>
    </row>
    <row r="355" spans="1:1" x14ac:dyDescent="0.25">
      <c r="A355" s="1" t="s">
        <v>31</v>
      </c>
    </row>
    <row r="356" spans="1:1" x14ac:dyDescent="0.25">
      <c r="A356" s="1" t="s">
        <v>19</v>
      </c>
    </row>
    <row r="357" spans="1:1" x14ac:dyDescent="0.25">
      <c r="A357" s="8" t="str">
        <f>"            &lt;scs&gt;"&amp;'Control-Sheet'!$D41&amp;"&lt;/scs&gt;"</f>
        <v xml:space="preserve">            &lt;scs&gt;KHZ_15&lt;/scs&gt;</v>
      </c>
    </row>
    <row r="358" spans="1:1" x14ac:dyDescent="0.25">
      <c r="A358" s="8" t="str">
        <f>"            &lt;ul-fft-sampling-offset&gt;"&amp;'Control-Sheet'!$F41&amp;"&lt;/ul-fft-sampling-offset&gt;"</f>
        <v xml:space="preserve">            &lt;ul-fft-sampling-offset&gt;0&lt;/ul-fft-sampling-offset&gt;</v>
      </c>
    </row>
    <row r="359" spans="1:1" x14ac:dyDescent="0.25">
      <c r="A359" s="1" t="s">
        <v>20</v>
      </c>
    </row>
    <row r="360" spans="1:1" x14ac:dyDescent="0.25">
      <c r="A360" s="1" t="s">
        <v>21</v>
      </c>
    </row>
    <row r="361" spans="1:1" x14ac:dyDescent="0.25">
      <c r="A361" s="1" t="s">
        <v>22</v>
      </c>
    </row>
    <row r="362" spans="1:1" x14ac:dyDescent="0.25">
      <c r="A362" s="1" t="s">
        <v>23</v>
      </c>
    </row>
    <row r="363" spans="1:1" x14ac:dyDescent="0.25">
      <c r="A363" s="1" t="s">
        <v>24</v>
      </c>
    </row>
    <row r="364" spans="1:1" x14ac:dyDescent="0.25">
      <c r="A364" s="1" t="s">
        <v>25</v>
      </c>
    </row>
    <row r="365" spans="1:1" x14ac:dyDescent="0.25">
      <c r="A365" s="8" t="str">
        <f>"            &lt;eaxc-id&gt;"&amp;'Control-Sheet'!$G41&amp;"&lt;/eaxc-id&gt;"</f>
        <v xml:space="preserve">            &lt;eaxc-id&gt;25&lt;/eaxc-id&gt;</v>
      </c>
    </row>
    <row r="366" spans="1:1" x14ac:dyDescent="0.25">
      <c r="A366" s="1" t="s">
        <v>26</v>
      </c>
    </row>
    <row r="367" spans="1:1" x14ac:dyDescent="0.25">
      <c r="A367" s="1" t="s">
        <v>27</v>
      </c>
    </row>
    <row r="368" spans="1:1" x14ac:dyDescent="0.25">
      <c r="A368" s="2" t="s">
        <v>174</v>
      </c>
    </row>
    <row r="369" spans="1:1" x14ac:dyDescent="0.25">
      <c r="A369" s="30" t="str">
        <f>"          &lt;name&gt;"&amp;'Control-Sheet'!$L41&amp;"&lt;/name&gt;"</f>
        <v xml:space="preserve">          &lt;name&gt;rac_0_0_1_4&lt;/name&gt;</v>
      </c>
    </row>
    <row r="370" spans="1:1" x14ac:dyDescent="0.25">
      <c r="A370" s="2" t="s">
        <v>167</v>
      </c>
    </row>
    <row r="371" spans="1:1" x14ac:dyDescent="0.25">
      <c r="A371" s="30" t="str">
        <f>"          &lt;center-of-channel-bandwidth&gt;"&amp;'Control-Sheet'!$M41*10^6&amp;"&lt;/center-of-channel-bandwidth&gt;"</f>
        <v xml:space="preserve">          &lt;center-of-channel-bandwidth&gt;3445000000&lt;/center-of-channel-bandwidth&gt;</v>
      </c>
    </row>
    <row r="372" spans="1:1" x14ac:dyDescent="0.25">
      <c r="A372" s="30" t="str">
        <f>"          &lt;channel-bandwidth&gt;"&amp;'Control-Sheet'!$N41*10^6&amp;"&lt;/channel-bandwidth&gt;"</f>
        <v xml:space="preserve">          &lt;channel-bandwidth&gt;10000000&lt;/channel-bandwidth&gt;</v>
      </c>
    </row>
    <row r="373" spans="1:1" x14ac:dyDescent="0.25">
      <c r="A373" s="2" t="s">
        <v>168</v>
      </c>
    </row>
    <row r="374" spans="1:1" x14ac:dyDescent="0.25">
      <c r="A374" s="30" t="str">
        <f>"          &lt;type&gt;"&amp;'Control-Sheet'!$O41&amp;"&lt;/type&gt;"</f>
        <v xml:space="preserve">          &lt;type&gt;NR&lt;/type&gt;</v>
      </c>
    </row>
    <row r="375" spans="1:1" x14ac:dyDescent="0.25">
      <c r="A375" s="30" t="str">
        <f>"          &lt;n-ta-offset&gt;"&amp;'Control-Sheet'!$P41&amp;"&lt;/n-ta-offset&gt;"</f>
        <v xml:space="preserve">          &lt;n-ta-offset&gt;25600&lt;/n-ta-offset&gt;</v>
      </c>
    </row>
    <row r="376" spans="1:1" x14ac:dyDescent="0.25">
      <c r="A376" s="2" t="s">
        <v>175</v>
      </c>
    </row>
    <row r="377" spans="1:1" x14ac:dyDescent="0.25">
      <c r="A377" s="2" t="s">
        <v>169</v>
      </c>
    </row>
    <row r="378" spans="1:1" x14ac:dyDescent="0.25">
      <c r="A378" s="2" t="s">
        <v>170</v>
      </c>
    </row>
    <row r="379" spans="1:1" x14ac:dyDescent="0.25">
      <c r="A379" s="2" t="s">
        <v>176</v>
      </c>
    </row>
    <row r="380" spans="1:1" x14ac:dyDescent="0.25">
      <c r="A380" s="3" t="s">
        <v>28</v>
      </c>
    </row>
    <row r="381" spans="1:1" x14ac:dyDescent="0.25">
      <c r="A381" s="32" t="str">
        <f>"          &lt;name&gt;"&amp;'Control-Sheet'!$H41&amp;"&lt;/name&gt;"</f>
        <v xml:space="preserve">          &lt;name&gt;llre_0_0_1_4_0_0&lt;/name&gt;</v>
      </c>
    </row>
    <row r="382" spans="1:1" x14ac:dyDescent="0.25">
      <c r="A382" s="32" t="str">
        <f>"          &lt;processing-element&gt;"&amp;'Control-Sheet'!$I41&amp;"&lt;/processing-element&gt;"</f>
        <v xml:space="preserve">          &lt;processing-element&gt;ru-pe.0&lt;/processing-element&gt;</v>
      </c>
    </row>
    <row r="383" spans="1:1" x14ac:dyDescent="0.25">
      <c r="A383" s="32" t="str">
        <f>"          &lt;rx-array-carrier&gt;"&amp;'Control-Sheet'!$J41&amp;"&lt;/rx-array-carrier&gt;"</f>
        <v xml:space="preserve">          &lt;rx-array-carrier&gt;rac_0_0_1_4&lt;/rx-array-carrier&gt;</v>
      </c>
    </row>
    <row r="384" spans="1:1" x14ac:dyDescent="0.25">
      <c r="A384" s="32" t="str">
        <f>"          &lt;low-level-rx-endpoint&gt;"&amp;'Control-Sheet'!$K41&amp;"&lt;/low-level-rx-endpoint&gt;"</f>
        <v xml:space="preserve">          &lt;low-level-rx-endpoint&gt;llre_0_0_1_4_0_0&lt;/low-level-rx-endpoint&gt;</v>
      </c>
    </row>
    <row r="385" spans="1:1" x14ac:dyDescent="0.25">
      <c r="A385" s="3" t="s">
        <v>29</v>
      </c>
    </row>
    <row r="388" spans="1:1" x14ac:dyDescent="0.25">
      <c r="A388" s="33" t="s">
        <v>32</v>
      </c>
    </row>
    <row r="389" spans="1:1" x14ac:dyDescent="0.25">
      <c r="A389" s="33" t="s">
        <v>33</v>
      </c>
    </row>
    <row r="390" spans="1:1" x14ac:dyDescent="0.25">
      <c r="A390" s="33" t="s">
        <v>34</v>
      </c>
    </row>
    <row r="391" spans="1:1" x14ac:dyDescent="0.25">
      <c r="A391" s="33" t="s">
        <v>35</v>
      </c>
    </row>
  </sheetData>
  <autoFilter ref="A1:A391" xr:uid="{00000000-0009-0000-0000-000004000000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95"/>
  <sheetViews>
    <sheetView tabSelected="1" topLeftCell="A70" zoomScaleNormal="100" workbookViewId="0">
      <selection activeCell="E92" sqref="E92"/>
    </sheetView>
  </sheetViews>
  <sheetFormatPr defaultRowHeight="13.5" x14ac:dyDescent="0.25"/>
  <cols>
    <col min="1" max="1" width="79" style="33" bestFit="1" customWidth="1"/>
  </cols>
  <sheetData>
    <row r="1" spans="1:1" x14ac:dyDescent="0.25">
      <c r="A1" s="33" t="s">
        <v>0</v>
      </c>
    </row>
    <row r="2" spans="1:1" x14ac:dyDescent="0.25">
      <c r="A2" s="33" t="s">
        <v>1</v>
      </c>
    </row>
    <row r="3" spans="1:1" x14ac:dyDescent="0.25">
      <c r="A3" s="33" t="s">
        <v>2</v>
      </c>
    </row>
    <row r="4" spans="1:1" x14ac:dyDescent="0.25">
      <c r="A4" s="33" t="s">
        <v>3</v>
      </c>
    </row>
    <row r="5" spans="1:1" x14ac:dyDescent="0.25">
      <c r="A5" s="33" t="s">
        <v>4</v>
      </c>
    </row>
    <row r="6" spans="1:1" x14ac:dyDescent="0.25">
      <c r="A6" s="33" t="s">
        <v>5</v>
      </c>
    </row>
    <row r="7" spans="1:1" x14ac:dyDescent="0.25">
      <c r="A7" s="33" t="s">
        <v>6</v>
      </c>
    </row>
    <row r="8" spans="1:1" x14ac:dyDescent="0.25">
      <c r="A8" s="33" t="s">
        <v>7</v>
      </c>
    </row>
    <row r="9" spans="1:1" x14ac:dyDescent="0.25">
      <c r="A9" s="33" t="s">
        <v>8</v>
      </c>
    </row>
    <row r="12" spans="1:1" x14ac:dyDescent="0.25">
      <c r="A12" s="1" t="s">
        <v>9</v>
      </c>
    </row>
    <row r="13" spans="1:1" x14ac:dyDescent="0.25">
      <c r="A13" s="8" t="str">
        <f>"            &lt;name&gt;"&amp;'Control-Sheet'!$C48&amp;"&lt;/name&gt;"</f>
        <v xml:space="preserve">            &lt;name&gt;llre_0_0_0_1_1_0&lt;/name&gt;</v>
      </c>
    </row>
    <row r="14" spans="1:1" x14ac:dyDescent="0.25">
      <c r="A14" s="1" t="s">
        <v>10</v>
      </c>
    </row>
    <row r="15" spans="1:1" x14ac:dyDescent="0.25">
      <c r="A15" s="1" t="s">
        <v>11</v>
      </c>
    </row>
    <row r="16" spans="1:1" x14ac:dyDescent="0.25">
      <c r="A16" s="1" t="s">
        <v>12</v>
      </c>
    </row>
    <row r="17" spans="1:1" x14ac:dyDescent="0.25">
      <c r="A17" s="1" t="s">
        <v>13</v>
      </c>
    </row>
    <row r="18" spans="1:1" x14ac:dyDescent="0.25">
      <c r="A18" s="1" t="s">
        <v>14</v>
      </c>
    </row>
    <row r="19" spans="1:1" x14ac:dyDescent="0.25">
      <c r="A19" s="1" t="s">
        <v>15</v>
      </c>
    </row>
    <row r="20" spans="1:1" x14ac:dyDescent="0.25">
      <c r="A20" s="1" t="s">
        <v>16</v>
      </c>
    </row>
    <row r="21" spans="1:1" x14ac:dyDescent="0.25">
      <c r="A21" s="1" t="s">
        <v>17</v>
      </c>
    </row>
    <row r="22" spans="1:1" x14ac:dyDescent="0.25">
      <c r="A22" s="1" t="s">
        <v>18</v>
      </c>
    </row>
    <row r="23" spans="1:1" x14ac:dyDescent="0.25">
      <c r="A23" s="1"/>
    </row>
    <row r="24" spans="1:1" x14ac:dyDescent="0.25">
      <c r="A24" s="8"/>
    </row>
    <row r="25" spans="1:1" x14ac:dyDescent="0.25">
      <c r="A25" s="8"/>
    </row>
    <row r="26" spans="1:1" x14ac:dyDescent="0.25">
      <c r="A26" s="1"/>
    </row>
    <row r="27" spans="1:1" x14ac:dyDescent="0.25">
      <c r="A27" s="1" t="s">
        <v>19</v>
      </c>
    </row>
    <row r="28" spans="1:1" x14ac:dyDescent="0.25">
      <c r="A28" s="8" t="str">
        <f>"            &lt;scs&gt;"&amp;'Control-Sheet'!$D48&amp;"&lt;/scs&gt;"</f>
        <v xml:space="preserve">            &lt;scs&gt;KHZ_15&lt;/scs&gt;</v>
      </c>
    </row>
    <row r="29" spans="1:1" x14ac:dyDescent="0.25">
      <c r="A29" s="8" t="str">
        <f>"            &lt;ul-fft-sampling-offset&gt;"&amp;'Control-Sheet'!$F48&amp;"&lt;/ul-fft-sampling-offset&gt;"</f>
        <v xml:space="preserve">            &lt;ul-fft-sampling-offset&gt;0&lt;/ul-fft-sampling-offset&gt;</v>
      </c>
    </row>
    <row r="30" spans="1:1" x14ac:dyDescent="0.25">
      <c r="A30" s="1" t="s">
        <v>20</v>
      </c>
    </row>
    <row r="31" spans="1:1" x14ac:dyDescent="0.25">
      <c r="A31" s="1" t="s">
        <v>21</v>
      </c>
    </row>
    <row r="32" spans="1:1" x14ac:dyDescent="0.25">
      <c r="A32" s="1" t="s">
        <v>22</v>
      </c>
    </row>
    <row r="33" spans="1:1" x14ac:dyDescent="0.25">
      <c r="A33" s="1" t="s">
        <v>23</v>
      </c>
    </row>
    <row r="34" spans="1:1" x14ac:dyDescent="0.25">
      <c r="A34" s="1" t="s">
        <v>24</v>
      </c>
    </row>
    <row r="35" spans="1:1" x14ac:dyDescent="0.25">
      <c r="A35" s="1" t="s">
        <v>25</v>
      </c>
    </row>
    <row r="36" spans="1:1" x14ac:dyDescent="0.25">
      <c r="A36" s="8" t="str">
        <f>"            &lt;eaxc-id&gt;"&amp;'Control-Sheet'!$G48&amp;"&lt;/eaxc-id&gt;"</f>
        <v xml:space="preserve">            &lt;eaxc-id&gt;34&lt;/eaxc-id&gt;</v>
      </c>
    </row>
    <row r="37" spans="1:1" x14ac:dyDescent="0.25">
      <c r="A37" s="1" t="s">
        <v>26</v>
      </c>
    </row>
    <row r="38" spans="1:1" x14ac:dyDescent="0.25">
      <c r="A38" s="1" t="s">
        <v>27</v>
      </c>
    </row>
    <row r="39" spans="1:1" x14ac:dyDescent="0.25">
      <c r="A39" s="3" t="s">
        <v>28</v>
      </c>
    </row>
    <row r="40" spans="1:1" x14ac:dyDescent="0.25">
      <c r="A40" s="32" t="str">
        <f>"          &lt;name&gt;"&amp;'Control-Sheet'!$H48&amp;"&lt;/name&gt;"</f>
        <v xml:space="preserve">          &lt;name&gt;llre_0_0_0_1_1_0&lt;/name&gt;</v>
      </c>
    </row>
    <row r="41" spans="1:1" x14ac:dyDescent="0.25">
      <c r="A41" s="32" t="str">
        <f>"          &lt;processing-element&gt;"&amp;'Control-Sheet'!$I48&amp;"&lt;/processing-element&gt;"</f>
        <v xml:space="preserve">          &lt;processing-element&gt;ru-pe.0&lt;/processing-element&gt;</v>
      </c>
    </row>
    <row r="42" spans="1:1" x14ac:dyDescent="0.25">
      <c r="A42" s="32" t="str">
        <f>"          &lt;rx-array-carrier&gt;"&amp;'Control-Sheet'!$J48&amp;"&lt;/rx-array-carrier&gt;"</f>
        <v xml:space="preserve">          &lt;rx-array-carrier&gt;rac_0_0_0_1&lt;/rx-array-carrier&gt;</v>
      </c>
    </row>
    <row r="43" spans="1:1" x14ac:dyDescent="0.25">
      <c r="A43" s="32" t="str">
        <f>"          &lt;low-level-rx-endpoint&gt;"&amp;'Control-Sheet'!$K48&amp;"&lt;/low-level-rx-endpoint&gt;"</f>
        <v xml:space="preserve">          &lt;low-level-rx-endpoint&gt;llre_0_0_0_1_1_0&lt;/low-level-rx-endpoint&gt;</v>
      </c>
    </row>
    <row r="44" spans="1:1" x14ac:dyDescent="0.25">
      <c r="A44" s="3" t="s">
        <v>29</v>
      </c>
    </row>
    <row r="47" spans="1:1" x14ac:dyDescent="0.25">
      <c r="A47" s="1" t="s">
        <v>9</v>
      </c>
    </row>
    <row r="48" spans="1:1" x14ac:dyDescent="0.25">
      <c r="A48" s="8" t="str">
        <f>"            &lt;name&gt;"&amp;'Control-Sheet'!$C49&amp;"&lt;/name&gt;"</f>
        <v xml:space="preserve">            &lt;name&gt;llre_0_0_1_1_1_0&lt;/name&gt;</v>
      </c>
    </row>
    <row r="49" spans="1:1" x14ac:dyDescent="0.25">
      <c r="A49" s="1" t="s">
        <v>10</v>
      </c>
    </row>
    <row r="50" spans="1:1" x14ac:dyDescent="0.25">
      <c r="A50" s="1" t="s">
        <v>11</v>
      </c>
    </row>
    <row r="51" spans="1:1" x14ac:dyDescent="0.25">
      <c r="A51" s="1" t="s">
        <v>12</v>
      </c>
    </row>
    <row r="52" spans="1:1" x14ac:dyDescent="0.25">
      <c r="A52" s="1" t="s">
        <v>13</v>
      </c>
    </row>
    <row r="53" spans="1:1" x14ac:dyDescent="0.25">
      <c r="A53" s="1" t="s">
        <v>14</v>
      </c>
    </row>
    <row r="54" spans="1:1" x14ac:dyDescent="0.25">
      <c r="A54" s="1" t="s">
        <v>15</v>
      </c>
    </row>
    <row r="55" spans="1:1" x14ac:dyDescent="0.25">
      <c r="A55" s="1" t="s">
        <v>16</v>
      </c>
    </row>
    <row r="56" spans="1:1" x14ac:dyDescent="0.25">
      <c r="A56" s="1" t="s">
        <v>17</v>
      </c>
    </row>
    <row r="57" spans="1:1" x14ac:dyDescent="0.25">
      <c r="A57" s="1" t="s">
        <v>18</v>
      </c>
    </row>
    <row r="58" spans="1:1" x14ac:dyDescent="0.25">
      <c r="A58" s="1"/>
    </row>
    <row r="59" spans="1:1" x14ac:dyDescent="0.25">
      <c r="A59" s="8"/>
    </row>
    <row r="60" spans="1:1" x14ac:dyDescent="0.25">
      <c r="A60" s="8"/>
    </row>
    <row r="61" spans="1:1" x14ac:dyDescent="0.25">
      <c r="A61" s="1"/>
    </row>
    <row r="62" spans="1:1" x14ac:dyDescent="0.25">
      <c r="A62" s="1" t="s">
        <v>19</v>
      </c>
    </row>
    <row r="63" spans="1:1" x14ac:dyDescent="0.25">
      <c r="A63" s="8" t="str">
        <f>"            &lt;scs&gt;"&amp;'Control-Sheet'!$D49&amp;"&lt;/scs&gt;"</f>
        <v xml:space="preserve">            &lt;scs&gt;KHZ_15&lt;/scs&gt;</v>
      </c>
    </row>
    <row r="64" spans="1:1" x14ac:dyDescent="0.25">
      <c r="A64" s="8" t="str">
        <f>"            &lt;ul-fft-sampling-offset&gt;"&amp;'Control-Sheet'!$F49&amp;"&lt;/ul-fft-sampling-offset&gt;"</f>
        <v xml:space="preserve">            &lt;ul-fft-sampling-offset&gt;0&lt;/ul-fft-sampling-offset&gt;</v>
      </c>
    </row>
    <row r="65" spans="1:1" x14ac:dyDescent="0.25">
      <c r="A65" s="1" t="s">
        <v>20</v>
      </c>
    </row>
    <row r="66" spans="1:1" x14ac:dyDescent="0.25">
      <c r="A66" s="1" t="s">
        <v>21</v>
      </c>
    </row>
    <row r="67" spans="1:1" x14ac:dyDescent="0.25">
      <c r="A67" s="1" t="s">
        <v>22</v>
      </c>
    </row>
    <row r="68" spans="1:1" x14ac:dyDescent="0.25">
      <c r="A68" s="1" t="s">
        <v>23</v>
      </c>
    </row>
    <row r="69" spans="1:1" x14ac:dyDescent="0.25">
      <c r="A69" s="1" t="s">
        <v>24</v>
      </c>
    </row>
    <row r="70" spans="1:1" x14ac:dyDescent="0.25">
      <c r="A70" s="1" t="s">
        <v>25</v>
      </c>
    </row>
    <row r="71" spans="1:1" x14ac:dyDescent="0.25">
      <c r="A71" s="8" t="str">
        <f>"            &lt;eaxc-id&gt;"&amp;'Control-Sheet'!$G49&amp;"&lt;/eaxc-id&gt;"</f>
        <v xml:space="preserve">            &lt;eaxc-id&gt;35&lt;/eaxc-id&gt;</v>
      </c>
    </row>
    <row r="72" spans="1:1" x14ac:dyDescent="0.25">
      <c r="A72" s="1" t="s">
        <v>26</v>
      </c>
    </row>
    <row r="73" spans="1:1" x14ac:dyDescent="0.25">
      <c r="A73" s="1" t="s">
        <v>27</v>
      </c>
    </row>
    <row r="74" spans="1:1" x14ac:dyDescent="0.25">
      <c r="A74" s="3" t="s">
        <v>28</v>
      </c>
    </row>
    <row r="75" spans="1:1" x14ac:dyDescent="0.25">
      <c r="A75" s="32" t="str">
        <f>"          &lt;name&gt;"&amp;'Control-Sheet'!$H49&amp;"&lt;/name&gt;"</f>
        <v xml:space="preserve">          &lt;name&gt;llre_0_0_1_1_1_0&lt;/name&gt;</v>
      </c>
    </row>
    <row r="76" spans="1:1" x14ac:dyDescent="0.25">
      <c r="A76" s="32" t="str">
        <f>"          &lt;processing-element&gt;"&amp;'Control-Sheet'!$I49&amp;"&lt;/processing-element&gt;"</f>
        <v xml:space="preserve">          &lt;processing-element&gt;ru-pe.0&lt;/processing-element&gt;</v>
      </c>
    </row>
    <row r="77" spans="1:1" x14ac:dyDescent="0.25">
      <c r="A77" s="32" t="str">
        <f>"          &lt;rx-array-carrier&gt;"&amp;'Control-Sheet'!$J49&amp;"&lt;/rx-array-carrier&gt;"</f>
        <v xml:space="preserve">          &lt;rx-array-carrier&gt;rac_0_0_1_1&lt;/rx-array-carrier&gt;</v>
      </c>
    </row>
    <row r="78" spans="1:1" x14ac:dyDescent="0.25">
      <c r="A78" s="32" t="str">
        <f>"          &lt;low-level-rx-endpoint&gt;"&amp;'Control-Sheet'!$K49&amp;"&lt;/low-level-rx-endpoint&gt;"</f>
        <v xml:space="preserve">          &lt;low-level-rx-endpoint&gt;llre_0_0_1_1_1_0&lt;/low-level-rx-endpoint&gt;</v>
      </c>
    </row>
    <row r="79" spans="1:1" x14ac:dyDescent="0.25">
      <c r="A79" s="3" t="s">
        <v>29</v>
      </c>
    </row>
    <row r="82" spans="1:1" x14ac:dyDescent="0.25">
      <c r="A82" s="1" t="s">
        <v>9</v>
      </c>
    </row>
    <row r="83" spans="1:1" x14ac:dyDescent="0.25">
      <c r="A83" s="8" t="str">
        <f>"            &lt;name&gt;"&amp;'Control-Sheet'!$C50&amp;"&lt;/name&gt;"</f>
        <v xml:space="preserve">            &lt;name&gt;llre_0_0_0_2_1_0&lt;/name&gt;</v>
      </c>
    </row>
    <row r="84" spans="1:1" x14ac:dyDescent="0.25">
      <c r="A84" s="1" t="s">
        <v>10</v>
      </c>
    </row>
    <row r="85" spans="1:1" x14ac:dyDescent="0.25">
      <c r="A85" s="1" t="s">
        <v>11</v>
      </c>
    </row>
    <row r="86" spans="1:1" x14ac:dyDescent="0.25">
      <c r="A86" s="1" t="s">
        <v>12</v>
      </c>
    </row>
    <row r="87" spans="1:1" x14ac:dyDescent="0.25">
      <c r="A87" s="1" t="s">
        <v>13</v>
      </c>
    </row>
    <row r="88" spans="1:1" x14ac:dyDescent="0.25">
      <c r="A88" s="1" t="s">
        <v>14</v>
      </c>
    </row>
    <row r="89" spans="1:1" x14ac:dyDescent="0.25">
      <c r="A89" s="1" t="s">
        <v>15</v>
      </c>
    </row>
    <row r="90" spans="1:1" x14ac:dyDescent="0.25">
      <c r="A90" s="1" t="s">
        <v>16</v>
      </c>
    </row>
    <row r="91" spans="1:1" x14ac:dyDescent="0.25">
      <c r="A91" s="1" t="s">
        <v>17</v>
      </c>
    </row>
    <row r="92" spans="1:1" x14ac:dyDescent="0.25">
      <c r="A92" s="1" t="s">
        <v>18</v>
      </c>
    </row>
    <row r="93" spans="1:1" x14ac:dyDescent="0.25">
      <c r="A93" s="1"/>
    </row>
    <row r="94" spans="1:1" x14ac:dyDescent="0.25">
      <c r="A94" s="8"/>
    </row>
    <row r="95" spans="1:1" x14ac:dyDescent="0.25">
      <c r="A95" s="8"/>
    </row>
    <row r="96" spans="1:1" x14ac:dyDescent="0.25">
      <c r="A96" s="1"/>
    </row>
    <row r="97" spans="1:1" x14ac:dyDescent="0.25">
      <c r="A97" s="1" t="s">
        <v>19</v>
      </c>
    </row>
    <row r="98" spans="1:1" x14ac:dyDescent="0.25">
      <c r="A98" s="8" t="str">
        <f>"            &lt;scs&gt;"&amp;'Control-Sheet'!$D50&amp;"&lt;/scs&gt;"</f>
        <v xml:space="preserve">            &lt;scs&gt;KHZ_15&lt;/scs&gt;</v>
      </c>
    </row>
    <row r="99" spans="1:1" x14ac:dyDescent="0.25">
      <c r="A99" s="8" t="str">
        <f>"            &lt;ul-fft-sampling-offset&gt;"&amp;'Control-Sheet'!$F50&amp;"&lt;/ul-fft-sampling-offset&gt;"</f>
        <v xml:space="preserve">            &lt;ul-fft-sampling-offset&gt;0&lt;/ul-fft-sampling-offset&gt;</v>
      </c>
    </row>
    <row r="100" spans="1:1" x14ac:dyDescent="0.25">
      <c r="A100" s="1" t="s">
        <v>20</v>
      </c>
    </row>
    <row r="101" spans="1:1" x14ac:dyDescent="0.25">
      <c r="A101" s="1" t="s">
        <v>21</v>
      </c>
    </row>
    <row r="102" spans="1:1" x14ac:dyDescent="0.25">
      <c r="A102" s="1" t="s">
        <v>22</v>
      </c>
    </row>
    <row r="103" spans="1:1" x14ac:dyDescent="0.25">
      <c r="A103" s="1" t="s">
        <v>23</v>
      </c>
    </row>
    <row r="104" spans="1:1" x14ac:dyDescent="0.25">
      <c r="A104" s="1" t="s">
        <v>24</v>
      </c>
    </row>
    <row r="105" spans="1:1" x14ac:dyDescent="0.25">
      <c r="A105" s="1" t="s">
        <v>25</v>
      </c>
    </row>
    <row r="106" spans="1:1" x14ac:dyDescent="0.25">
      <c r="A106" s="8" t="str">
        <f>"            &lt;eaxc-id&gt;"&amp;'Control-Sheet'!$G50&amp;"&lt;/eaxc-id&gt;"</f>
        <v xml:space="preserve">            &lt;eaxc-id&gt;36&lt;/eaxc-id&gt;</v>
      </c>
    </row>
    <row r="107" spans="1:1" x14ac:dyDescent="0.25">
      <c r="A107" s="1" t="s">
        <v>26</v>
      </c>
    </row>
    <row r="108" spans="1:1" x14ac:dyDescent="0.25">
      <c r="A108" s="1" t="s">
        <v>27</v>
      </c>
    </row>
    <row r="109" spans="1:1" x14ac:dyDescent="0.25">
      <c r="A109" s="3" t="s">
        <v>28</v>
      </c>
    </row>
    <row r="110" spans="1:1" x14ac:dyDescent="0.25">
      <c r="A110" s="32" t="str">
        <f>"          &lt;name&gt;"&amp;'Control-Sheet'!$H50&amp;"&lt;/name&gt;"</f>
        <v xml:space="preserve">          &lt;name&gt;llre_0_0_0_2_1_0&lt;/name&gt;</v>
      </c>
    </row>
    <row r="111" spans="1:1" x14ac:dyDescent="0.25">
      <c r="A111" s="32" t="str">
        <f>"          &lt;processing-element&gt;"&amp;'Control-Sheet'!$I50&amp;"&lt;/processing-element&gt;"</f>
        <v xml:space="preserve">          &lt;processing-element&gt;ru-pe.0&lt;/processing-element&gt;</v>
      </c>
    </row>
    <row r="112" spans="1:1" x14ac:dyDescent="0.25">
      <c r="A112" s="32" t="str">
        <f>"          &lt;rx-array-carrier&gt;"&amp;'Control-Sheet'!$J50&amp;"&lt;/rx-array-carrier&gt;"</f>
        <v xml:space="preserve">          &lt;rx-array-carrier&gt;rac_0_0_0_2&lt;/rx-array-carrier&gt;</v>
      </c>
    </row>
    <row r="113" spans="1:1" x14ac:dyDescent="0.25">
      <c r="A113" s="32" t="str">
        <f>"          &lt;low-level-rx-endpoint&gt;"&amp;'Control-Sheet'!$K50&amp;"&lt;/low-level-rx-endpoint&gt;"</f>
        <v xml:space="preserve">          &lt;low-level-rx-endpoint&gt;llre_0_0_0_2_1_0&lt;/low-level-rx-endpoint&gt;</v>
      </c>
    </row>
    <row r="114" spans="1:1" x14ac:dyDescent="0.25">
      <c r="A114" s="3" t="s">
        <v>29</v>
      </c>
    </row>
    <row r="117" spans="1:1" x14ac:dyDescent="0.25">
      <c r="A117" s="1" t="s">
        <v>9</v>
      </c>
    </row>
    <row r="118" spans="1:1" x14ac:dyDescent="0.25">
      <c r="A118" s="8" t="str">
        <f>"            &lt;name&gt;"&amp;'Control-Sheet'!$C51&amp;"&lt;/name&gt;"</f>
        <v xml:space="preserve">            &lt;name&gt;llre_0_0_1_2_1_0&lt;/name&gt;</v>
      </c>
    </row>
    <row r="119" spans="1:1" x14ac:dyDescent="0.25">
      <c r="A119" s="1" t="s">
        <v>10</v>
      </c>
    </row>
    <row r="120" spans="1:1" x14ac:dyDescent="0.25">
      <c r="A120" s="1" t="s">
        <v>11</v>
      </c>
    </row>
    <row r="121" spans="1:1" x14ac:dyDescent="0.25">
      <c r="A121" s="1" t="s">
        <v>12</v>
      </c>
    </row>
    <row r="122" spans="1:1" x14ac:dyDescent="0.25">
      <c r="A122" s="1" t="s">
        <v>13</v>
      </c>
    </row>
    <row r="123" spans="1:1" x14ac:dyDescent="0.25">
      <c r="A123" s="1" t="s">
        <v>14</v>
      </c>
    </row>
    <row r="124" spans="1:1" x14ac:dyDescent="0.25">
      <c r="A124" s="1" t="s">
        <v>15</v>
      </c>
    </row>
    <row r="125" spans="1:1" x14ac:dyDescent="0.25">
      <c r="A125" s="1" t="s">
        <v>16</v>
      </c>
    </row>
    <row r="126" spans="1:1" x14ac:dyDescent="0.25">
      <c r="A126" s="1" t="s">
        <v>17</v>
      </c>
    </row>
    <row r="127" spans="1:1" x14ac:dyDescent="0.25">
      <c r="A127" s="1" t="s">
        <v>18</v>
      </c>
    </row>
    <row r="128" spans="1:1" x14ac:dyDescent="0.25">
      <c r="A128" s="1"/>
    </row>
    <row r="129" spans="1:1" x14ac:dyDescent="0.25">
      <c r="A129" s="8"/>
    </row>
    <row r="130" spans="1:1" x14ac:dyDescent="0.25">
      <c r="A130" s="8"/>
    </row>
    <row r="131" spans="1:1" x14ac:dyDescent="0.25">
      <c r="A131" s="1"/>
    </row>
    <row r="132" spans="1:1" x14ac:dyDescent="0.25">
      <c r="A132" s="1" t="s">
        <v>19</v>
      </c>
    </row>
    <row r="133" spans="1:1" x14ac:dyDescent="0.25">
      <c r="A133" s="8" t="str">
        <f>"            &lt;scs&gt;"&amp;'Control-Sheet'!$D51&amp;"&lt;/scs&gt;"</f>
        <v xml:space="preserve">            &lt;scs&gt;KHZ_15&lt;/scs&gt;</v>
      </c>
    </row>
    <row r="134" spans="1:1" x14ac:dyDescent="0.25">
      <c r="A134" s="8" t="str">
        <f>"            &lt;ul-fft-sampling-offset&gt;"&amp;'Control-Sheet'!$F51&amp;"&lt;/ul-fft-sampling-offset&gt;"</f>
        <v xml:space="preserve">            &lt;ul-fft-sampling-offset&gt;0&lt;/ul-fft-sampling-offset&gt;</v>
      </c>
    </row>
    <row r="135" spans="1:1" x14ac:dyDescent="0.25">
      <c r="A135" s="1" t="s">
        <v>20</v>
      </c>
    </row>
    <row r="136" spans="1:1" x14ac:dyDescent="0.25">
      <c r="A136" s="1" t="s">
        <v>21</v>
      </c>
    </row>
    <row r="137" spans="1:1" x14ac:dyDescent="0.25">
      <c r="A137" s="1" t="s">
        <v>22</v>
      </c>
    </row>
    <row r="138" spans="1:1" x14ac:dyDescent="0.25">
      <c r="A138" s="1" t="s">
        <v>23</v>
      </c>
    </row>
    <row r="139" spans="1:1" x14ac:dyDescent="0.25">
      <c r="A139" s="1" t="s">
        <v>24</v>
      </c>
    </row>
    <row r="140" spans="1:1" x14ac:dyDescent="0.25">
      <c r="A140" s="1" t="s">
        <v>25</v>
      </c>
    </row>
    <row r="141" spans="1:1" x14ac:dyDescent="0.25">
      <c r="A141" s="8" t="str">
        <f>"            &lt;eaxc-id&gt;"&amp;'Control-Sheet'!$G51&amp;"&lt;/eaxc-id&gt;"</f>
        <v xml:space="preserve">            &lt;eaxc-id&gt;37&lt;/eaxc-id&gt;</v>
      </c>
    </row>
    <row r="142" spans="1:1" x14ac:dyDescent="0.25">
      <c r="A142" s="1" t="s">
        <v>26</v>
      </c>
    </row>
    <row r="143" spans="1:1" x14ac:dyDescent="0.25">
      <c r="A143" s="1" t="s">
        <v>27</v>
      </c>
    </row>
    <row r="144" spans="1:1" x14ac:dyDescent="0.25">
      <c r="A144" s="3" t="s">
        <v>28</v>
      </c>
    </row>
    <row r="145" spans="1:1" x14ac:dyDescent="0.25">
      <c r="A145" s="32" t="str">
        <f>"          &lt;name&gt;"&amp;'Control-Sheet'!$H51&amp;"&lt;/name&gt;"</f>
        <v xml:space="preserve">          &lt;name&gt;llre_0_0_1_2_1_0&lt;/name&gt;</v>
      </c>
    </row>
    <row r="146" spans="1:1" x14ac:dyDescent="0.25">
      <c r="A146" s="32" t="str">
        <f>"          &lt;processing-element&gt;"&amp;'Control-Sheet'!$I51&amp;"&lt;/processing-element&gt;"</f>
        <v xml:space="preserve">          &lt;processing-element&gt;ru-pe.0&lt;/processing-element&gt;</v>
      </c>
    </row>
    <row r="147" spans="1:1" x14ac:dyDescent="0.25">
      <c r="A147" s="32" t="str">
        <f>"          &lt;rx-array-carrier&gt;"&amp;'Control-Sheet'!$J51&amp;"&lt;/rx-array-carrier&gt;"</f>
        <v xml:space="preserve">          &lt;rx-array-carrier&gt;rac_0_0_1_2&lt;/rx-array-carrier&gt;</v>
      </c>
    </row>
    <row r="148" spans="1:1" x14ac:dyDescent="0.25">
      <c r="A148" s="32" t="str">
        <f>"          &lt;low-level-rx-endpoint&gt;"&amp;'Control-Sheet'!$K51&amp;"&lt;/low-level-rx-endpoint&gt;"</f>
        <v xml:space="preserve">          &lt;low-level-rx-endpoint&gt;llre_0_0_1_2_1_0&lt;/low-level-rx-endpoint&gt;</v>
      </c>
    </row>
    <row r="149" spans="1:1" x14ac:dyDescent="0.25">
      <c r="A149" s="3" t="s">
        <v>29</v>
      </c>
    </row>
    <row r="150" spans="1:1" x14ac:dyDescent="0.25">
      <c r="A150"/>
    </row>
    <row r="151" spans="1:1" x14ac:dyDescent="0.25">
      <c r="A151"/>
    </row>
    <row r="152" spans="1:1" x14ac:dyDescent="0.25">
      <c r="A152" s="1" t="s">
        <v>9</v>
      </c>
    </row>
    <row r="153" spans="1:1" x14ac:dyDescent="0.25">
      <c r="A153" s="8" t="str">
        <f>"            &lt;name&gt;"&amp;'Control-Sheet'!$C52&amp;"&lt;/name&gt;"</f>
        <v xml:space="preserve">            &lt;name&gt;llre_0_0_0_3_1_0&lt;/name&gt;</v>
      </c>
    </row>
    <row r="154" spans="1:1" x14ac:dyDescent="0.25">
      <c r="A154" s="1" t="s">
        <v>10</v>
      </c>
    </row>
    <row r="155" spans="1:1" x14ac:dyDescent="0.25">
      <c r="A155" s="1" t="s">
        <v>11</v>
      </c>
    </row>
    <row r="156" spans="1:1" x14ac:dyDescent="0.25">
      <c r="A156" s="1" t="s">
        <v>12</v>
      </c>
    </row>
    <row r="157" spans="1:1" x14ac:dyDescent="0.25">
      <c r="A157" s="1" t="s">
        <v>13</v>
      </c>
    </row>
    <row r="158" spans="1:1" x14ac:dyDescent="0.25">
      <c r="A158" s="1" t="s">
        <v>14</v>
      </c>
    </row>
    <row r="159" spans="1:1" x14ac:dyDescent="0.25">
      <c r="A159" s="1" t="s">
        <v>15</v>
      </c>
    </row>
    <row r="160" spans="1:1" x14ac:dyDescent="0.25">
      <c r="A160" s="1" t="s">
        <v>16</v>
      </c>
    </row>
    <row r="161" spans="1:1" x14ac:dyDescent="0.25">
      <c r="A161" s="1" t="s">
        <v>17</v>
      </c>
    </row>
    <row r="162" spans="1:1" x14ac:dyDescent="0.25">
      <c r="A162" s="1" t="s">
        <v>18</v>
      </c>
    </row>
    <row r="163" spans="1:1" x14ac:dyDescent="0.25">
      <c r="A163" s="1"/>
    </row>
    <row r="164" spans="1:1" x14ac:dyDescent="0.25">
      <c r="A164" s="8"/>
    </row>
    <row r="165" spans="1:1" x14ac:dyDescent="0.25">
      <c r="A165" s="8"/>
    </row>
    <row r="166" spans="1:1" x14ac:dyDescent="0.25">
      <c r="A166" s="1"/>
    </row>
    <row r="167" spans="1:1" x14ac:dyDescent="0.25">
      <c r="A167" s="1" t="s">
        <v>19</v>
      </c>
    </row>
    <row r="168" spans="1:1" x14ac:dyDescent="0.25">
      <c r="A168" s="8" t="str">
        <f>"            &lt;scs&gt;"&amp;'Control-Sheet'!$D52&amp;"&lt;/scs&gt;"</f>
        <v xml:space="preserve">            &lt;scs&gt;KHZ_15&lt;/scs&gt;</v>
      </c>
    </row>
    <row r="169" spans="1:1" x14ac:dyDescent="0.25">
      <c r="A169" s="8" t="str">
        <f>"            &lt;ul-fft-sampling-offset&gt;"&amp;'Control-Sheet'!$F52&amp;"&lt;/ul-fft-sampling-offset&gt;"</f>
        <v xml:space="preserve">            &lt;ul-fft-sampling-offset&gt;0&lt;/ul-fft-sampling-offset&gt;</v>
      </c>
    </row>
    <row r="170" spans="1:1" x14ac:dyDescent="0.25">
      <c r="A170" s="1" t="s">
        <v>20</v>
      </c>
    </row>
    <row r="171" spans="1:1" x14ac:dyDescent="0.25">
      <c r="A171" s="1" t="s">
        <v>21</v>
      </c>
    </row>
    <row r="172" spans="1:1" x14ac:dyDescent="0.25">
      <c r="A172" s="1" t="s">
        <v>22</v>
      </c>
    </row>
    <row r="173" spans="1:1" x14ac:dyDescent="0.25">
      <c r="A173" s="1" t="s">
        <v>23</v>
      </c>
    </row>
    <row r="174" spans="1:1" x14ac:dyDescent="0.25">
      <c r="A174" s="1" t="s">
        <v>24</v>
      </c>
    </row>
    <row r="175" spans="1:1" x14ac:dyDescent="0.25">
      <c r="A175" s="1" t="s">
        <v>25</v>
      </c>
    </row>
    <row r="176" spans="1:1" x14ac:dyDescent="0.25">
      <c r="A176" s="8" t="str">
        <f>"            &lt;eaxc-id&gt;"&amp;'Control-Sheet'!$G52&amp;"&lt;/eaxc-id&gt;"</f>
        <v xml:space="preserve">            &lt;eaxc-id&gt;38&lt;/eaxc-id&gt;</v>
      </c>
    </row>
    <row r="177" spans="1:1" x14ac:dyDescent="0.25">
      <c r="A177" s="1" t="s">
        <v>26</v>
      </c>
    </row>
    <row r="178" spans="1:1" x14ac:dyDescent="0.25">
      <c r="A178" s="1" t="s">
        <v>27</v>
      </c>
    </row>
    <row r="179" spans="1:1" x14ac:dyDescent="0.25">
      <c r="A179" s="3" t="s">
        <v>28</v>
      </c>
    </row>
    <row r="180" spans="1:1" x14ac:dyDescent="0.25">
      <c r="A180" s="32" t="str">
        <f>"          &lt;name&gt;"&amp;'Control-Sheet'!$H52&amp;"&lt;/name&gt;"</f>
        <v xml:space="preserve">          &lt;name&gt;llre_0_0_0_3_1_0&lt;/name&gt;</v>
      </c>
    </row>
    <row r="181" spans="1:1" x14ac:dyDescent="0.25">
      <c r="A181" s="32" t="str">
        <f>"          &lt;processing-element&gt;"&amp;'Control-Sheet'!$I52&amp;"&lt;/processing-element&gt;"</f>
        <v xml:space="preserve">          &lt;processing-element&gt;ru-pe.0&lt;/processing-element&gt;</v>
      </c>
    </row>
    <row r="182" spans="1:1" x14ac:dyDescent="0.25">
      <c r="A182" s="32" t="str">
        <f>"          &lt;rx-array-carrier&gt;"&amp;'Control-Sheet'!$J52&amp;"&lt;/rx-array-carrier&gt;"</f>
        <v xml:space="preserve">          &lt;rx-array-carrier&gt;rac_0_0_0_3&lt;/rx-array-carrier&gt;</v>
      </c>
    </row>
    <row r="183" spans="1:1" x14ac:dyDescent="0.25">
      <c r="A183" s="32" t="str">
        <f>"          &lt;low-level-rx-endpoint&gt;"&amp;'Control-Sheet'!$K52&amp;"&lt;/low-level-rx-endpoint&gt;"</f>
        <v xml:space="preserve">          &lt;low-level-rx-endpoint&gt;llre_0_0_0_3_1_0&lt;/low-level-rx-endpoint&gt;</v>
      </c>
    </row>
    <row r="184" spans="1:1" x14ac:dyDescent="0.25">
      <c r="A184" s="3" t="s">
        <v>29</v>
      </c>
    </row>
    <row r="185" spans="1:1" x14ac:dyDescent="0.25">
      <c r="A185"/>
    </row>
    <row r="186" spans="1:1" x14ac:dyDescent="0.25">
      <c r="A186"/>
    </row>
    <row r="187" spans="1:1" x14ac:dyDescent="0.25">
      <c r="A187" s="1" t="s">
        <v>9</v>
      </c>
    </row>
    <row r="188" spans="1:1" x14ac:dyDescent="0.25">
      <c r="A188" s="8" t="str">
        <f>"            &lt;name&gt;"&amp;'Control-Sheet'!$C53&amp;"&lt;/name&gt;"</f>
        <v xml:space="preserve">            &lt;name&gt;llre_0_0_1_3_1_0&lt;/name&gt;</v>
      </c>
    </row>
    <row r="189" spans="1:1" x14ac:dyDescent="0.25">
      <c r="A189" s="1" t="s">
        <v>10</v>
      </c>
    </row>
    <row r="190" spans="1:1" x14ac:dyDescent="0.25">
      <c r="A190" s="1" t="s">
        <v>11</v>
      </c>
    </row>
    <row r="191" spans="1:1" x14ac:dyDescent="0.25">
      <c r="A191" s="1" t="s">
        <v>12</v>
      </c>
    </row>
    <row r="192" spans="1:1" x14ac:dyDescent="0.25">
      <c r="A192" s="1" t="s">
        <v>13</v>
      </c>
    </row>
    <row r="193" spans="1:1" x14ac:dyDescent="0.25">
      <c r="A193" s="1" t="s">
        <v>14</v>
      </c>
    </row>
    <row r="194" spans="1:1" x14ac:dyDescent="0.25">
      <c r="A194" s="1" t="s">
        <v>15</v>
      </c>
    </row>
    <row r="195" spans="1:1" x14ac:dyDescent="0.25">
      <c r="A195" s="1" t="s">
        <v>16</v>
      </c>
    </row>
    <row r="196" spans="1:1" x14ac:dyDescent="0.25">
      <c r="A196" s="1" t="s">
        <v>17</v>
      </c>
    </row>
    <row r="197" spans="1:1" x14ac:dyDescent="0.25">
      <c r="A197" s="1" t="s">
        <v>18</v>
      </c>
    </row>
    <row r="198" spans="1:1" x14ac:dyDescent="0.25">
      <c r="A198" s="1"/>
    </row>
    <row r="199" spans="1:1" x14ac:dyDescent="0.25">
      <c r="A199" s="8"/>
    </row>
    <row r="200" spans="1:1" x14ac:dyDescent="0.25">
      <c r="A200" s="8"/>
    </row>
    <row r="201" spans="1:1" x14ac:dyDescent="0.25">
      <c r="A201" s="1"/>
    </row>
    <row r="202" spans="1:1" x14ac:dyDescent="0.25">
      <c r="A202" s="1" t="s">
        <v>19</v>
      </c>
    </row>
    <row r="203" spans="1:1" x14ac:dyDescent="0.25">
      <c r="A203" s="8" t="str">
        <f>"            &lt;scs&gt;"&amp;'Control-Sheet'!$D53&amp;"&lt;/scs&gt;"</f>
        <v xml:space="preserve">            &lt;scs&gt;KHZ_15&lt;/scs&gt;</v>
      </c>
    </row>
    <row r="204" spans="1:1" x14ac:dyDescent="0.25">
      <c r="A204" s="8" t="str">
        <f>"            &lt;ul-fft-sampling-offset&gt;"&amp;'Control-Sheet'!$F53&amp;"&lt;/ul-fft-sampling-offset&gt;"</f>
        <v xml:space="preserve">            &lt;ul-fft-sampling-offset&gt;0&lt;/ul-fft-sampling-offset&gt;</v>
      </c>
    </row>
    <row r="205" spans="1:1" x14ac:dyDescent="0.25">
      <c r="A205" s="1" t="s">
        <v>20</v>
      </c>
    </row>
    <row r="206" spans="1:1" x14ac:dyDescent="0.25">
      <c r="A206" s="1" t="s">
        <v>21</v>
      </c>
    </row>
    <row r="207" spans="1:1" x14ac:dyDescent="0.25">
      <c r="A207" s="1" t="s">
        <v>22</v>
      </c>
    </row>
    <row r="208" spans="1:1" x14ac:dyDescent="0.25">
      <c r="A208" s="1" t="s">
        <v>23</v>
      </c>
    </row>
    <row r="209" spans="1:1" x14ac:dyDescent="0.25">
      <c r="A209" s="1" t="s">
        <v>24</v>
      </c>
    </row>
    <row r="210" spans="1:1" x14ac:dyDescent="0.25">
      <c r="A210" s="1" t="s">
        <v>25</v>
      </c>
    </row>
    <row r="211" spans="1:1" x14ac:dyDescent="0.25">
      <c r="A211" s="8" t="str">
        <f>"            &lt;eaxc-id&gt;"&amp;'Control-Sheet'!$G53&amp;"&lt;/eaxc-id&gt;"</f>
        <v xml:space="preserve">            &lt;eaxc-id&gt;39&lt;/eaxc-id&gt;</v>
      </c>
    </row>
    <row r="212" spans="1:1" x14ac:dyDescent="0.25">
      <c r="A212" s="1" t="s">
        <v>26</v>
      </c>
    </row>
    <row r="213" spans="1:1" x14ac:dyDescent="0.25">
      <c r="A213" s="1" t="s">
        <v>27</v>
      </c>
    </row>
    <row r="214" spans="1:1" x14ac:dyDescent="0.25">
      <c r="A214" s="3" t="s">
        <v>28</v>
      </c>
    </row>
    <row r="215" spans="1:1" x14ac:dyDescent="0.25">
      <c r="A215" s="32" t="str">
        <f>"          &lt;name&gt;"&amp;'Control-Sheet'!$H53&amp;"&lt;/name&gt;"</f>
        <v xml:space="preserve">          &lt;name&gt;llre_0_0_1_3_1_0&lt;/name&gt;</v>
      </c>
    </row>
    <row r="216" spans="1:1" x14ac:dyDescent="0.25">
      <c r="A216" s="32" t="str">
        <f>"          &lt;processing-element&gt;"&amp;'Control-Sheet'!$I53&amp;"&lt;/processing-element&gt;"</f>
        <v xml:space="preserve">          &lt;processing-element&gt;ru-pe.0&lt;/processing-element&gt;</v>
      </c>
    </row>
    <row r="217" spans="1:1" x14ac:dyDescent="0.25">
      <c r="A217" s="32" t="str">
        <f>"          &lt;rx-array-carrier&gt;"&amp;'Control-Sheet'!$J53&amp;"&lt;/rx-array-carrier&gt;"</f>
        <v xml:space="preserve">          &lt;rx-array-carrier&gt;rac_0_0_1_3&lt;/rx-array-carrier&gt;</v>
      </c>
    </row>
    <row r="218" spans="1:1" x14ac:dyDescent="0.25">
      <c r="A218" s="32" t="str">
        <f>"          &lt;low-level-rx-endpoint&gt;"&amp;'Control-Sheet'!$K53&amp;"&lt;/low-level-rx-endpoint&gt;"</f>
        <v xml:space="preserve">          &lt;low-level-rx-endpoint&gt;llre_0_0_1_3_1_0&lt;/low-level-rx-endpoint&gt;</v>
      </c>
    </row>
    <row r="219" spans="1:1" x14ac:dyDescent="0.25">
      <c r="A219" s="3" t="s">
        <v>29</v>
      </c>
    </row>
    <row r="220" spans="1:1" x14ac:dyDescent="0.25">
      <c r="A220"/>
    </row>
    <row r="221" spans="1:1" x14ac:dyDescent="0.25">
      <c r="A221"/>
    </row>
    <row r="222" spans="1:1" x14ac:dyDescent="0.25">
      <c r="A222" s="1" t="s">
        <v>9</v>
      </c>
    </row>
    <row r="223" spans="1:1" x14ac:dyDescent="0.25">
      <c r="A223" s="8" t="str">
        <f>"            &lt;name&gt;"&amp;'Control-Sheet'!$C54&amp;"&lt;/name&gt;"</f>
        <v xml:space="preserve">            &lt;name&gt;llre_0_0_0_4_1_0&lt;/name&gt;</v>
      </c>
    </row>
    <row r="224" spans="1:1" x14ac:dyDescent="0.25">
      <c r="A224" s="1" t="s">
        <v>10</v>
      </c>
    </row>
    <row r="225" spans="1:1" x14ac:dyDescent="0.25">
      <c r="A225" s="1" t="s">
        <v>11</v>
      </c>
    </row>
    <row r="226" spans="1:1" x14ac:dyDescent="0.25">
      <c r="A226" s="1" t="s">
        <v>12</v>
      </c>
    </row>
    <row r="227" spans="1:1" x14ac:dyDescent="0.25">
      <c r="A227" s="1" t="s">
        <v>13</v>
      </c>
    </row>
    <row r="228" spans="1:1" x14ac:dyDescent="0.25">
      <c r="A228" s="1" t="s">
        <v>14</v>
      </c>
    </row>
    <row r="229" spans="1:1" x14ac:dyDescent="0.25">
      <c r="A229" s="1" t="s">
        <v>15</v>
      </c>
    </row>
    <row r="230" spans="1:1" x14ac:dyDescent="0.25">
      <c r="A230" s="1" t="s">
        <v>16</v>
      </c>
    </row>
    <row r="231" spans="1:1" x14ac:dyDescent="0.25">
      <c r="A231" s="1" t="s">
        <v>17</v>
      </c>
    </row>
    <row r="232" spans="1:1" x14ac:dyDescent="0.25">
      <c r="A232" s="1" t="s">
        <v>18</v>
      </c>
    </row>
    <row r="233" spans="1:1" x14ac:dyDescent="0.25">
      <c r="A233" s="1"/>
    </row>
    <row r="234" spans="1:1" x14ac:dyDescent="0.25">
      <c r="A234" s="8"/>
    </row>
    <row r="235" spans="1:1" x14ac:dyDescent="0.25">
      <c r="A235" s="8"/>
    </row>
    <row r="236" spans="1:1" x14ac:dyDescent="0.25">
      <c r="A236" s="1"/>
    </row>
    <row r="237" spans="1:1" x14ac:dyDescent="0.25">
      <c r="A237" s="1" t="s">
        <v>19</v>
      </c>
    </row>
    <row r="238" spans="1:1" x14ac:dyDescent="0.25">
      <c r="A238" s="8" t="str">
        <f>"            &lt;scs&gt;"&amp;'Control-Sheet'!$D54&amp;"&lt;/scs&gt;"</f>
        <v xml:space="preserve">            &lt;scs&gt;KHZ_15&lt;/scs&gt;</v>
      </c>
    </row>
    <row r="239" spans="1:1" x14ac:dyDescent="0.25">
      <c r="A239" s="8" t="str">
        <f>"            &lt;ul-fft-sampling-offset&gt;"&amp;'Control-Sheet'!$F54&amp;"&lt;/ul-fft-sampling-offset&gt;"</f>
        <v xml:space="preserve">            &lt;ul-fft-sampling-offset&gt;0&lt;/ul-fft-sampling-offset&gt;</v>
      </c>
    </row>
    <row r="240" spans="1:1" x14ac:dyDescent="0.25">
      <c r="A240" s="1" t="s">
        <v>20</v>
      </c>
    </row>
    <row r="241" spans="1:1" x14ac:dyDescent="0.25">
      <c r="A241" s="1" t="s">
        <v>21</v>
      </c>
    </row>
    <row r="242" spans="1:1" x14ac:dyDescent="0.25">
      <c r="A242" s="1" t="s">
        <v>22</v>
      </c>
    </row>
    <row r="243" spans="1:1" x14ac:dyDescent="0.25">
      <c r="A243" s="1" t="s">
        <v>23</v>
      </c>
    </row>
    <row r="244" spans="1:1" x14ac:dyDescent="0.25">
      <c r="A244" s="1" t="s">
        <v>24</v>
      </c>
    </row>
    <row r="245" spans="1:1" x14ac:dyDescent="0.25">
      <c r="A245" s="1" t="s">
        <v>25</v>
      </c>
    </row>
    <row r="246" spans="1:1" x14ac:dyDescent="0.25">
      <c r="A246" s="8" t="str">
        <f>"            &lt;eaxc-id&gt;"&amp;'Control-Sheet'!$G54&amp;"&lt;/eaxc-id&gt;"</f>
        <v xml:space="preserve">            &lt;eaxc-id&gt;40&lt;/eaxc-id&gt;</v>
      </c>
    </row>
    <row r="247" spans="1:1" x14ac:dyDescent="0.25">
      <c r="A247" s="1" t="s">
        <v>26</v>
      </c>
    </row>
    <row r="248" spans="1:1" x14ac:dyDescent="0.25">
      <c r="A248" s="1" t="s">
        <v>27</v>
      </c>
    </row>
    <row r="249" spans="1:1" x14ac:dyDescent="0.25">
      <c r="A249" s="3" t="s">
        <v>28</v>
      </c>
    </row>
    <row r="250" spans="1:1" x14ac:dyDescent="0.25">
      <c r="A250" s="32" t="str">
        <f>"          &lt;name&gt;"&amp;'Control-Sheet'!$H54&amp;"&lt;/name&gt;"</f>
        <v xml:space="preserve">          &lt;name&gt;llre_0_0_0_4_1_0&lt;/name&gt;</v>
      </c>
    </row>
    <row r="251" spans="1:1" x14ac:dyDescent="0.25">
      <c r="A251" s="32" t="str">
        <f>"          &lt;processing-element&gt;"&amp;'Control-Sheet'!$I54&amp;"&lt;/processing-element&gt;"</f>
        <v xml:space="preserve">          &lt;processing-element&gt;ru-pe.0&lt;/processing-element&gt;</v>
      </c>
    </row>
    <row r="252" spans="1:1" x14ac:dyDescent="0.25">
      <c r="A252" s="32" t="str">
        <f>"          &lt;rx-array-carrier&gt;"&amp;'Control-Sheet'!$J54&amp;"&lt;/rx-array-carrier&gt;"</f>
        <v xml:space="preserve">          &lt;rx-array-carrier&gt;rac_0_0_0_4&lt;/rx-array-carrier&gt;</v>
      </c>
    </row>
    <row r="253" spans="1:1" x14ac:dyDescent="0.25">
      <c r="A253" s="32" t="str">
        <f>"          &lt;low-level-rx-endpoint&gt;"&amp;'Control-Sheet'!$K54&amp;"&lt;/low-level-rx-endpoint&gt;"</f>
        <v xml:space="preserve">          &lt;low-level-rx-endpoint&gt;llre_0_0_0_4_1_0&lt;/low-level-rx-endpoint&gt;</v>
      </c>
    </row>
    <row r="254" spans="1:1" x14ac:dyDescent="0.25">
      <c r="A254" s="3" t="s">
        <v>29</v>
      </c>
    </row>
    <row r="255" spans="1:1" x14ac:dyDescent="0.25">
      <c r="A255"/>
    </row>
    <row r="256" spans="1:1" x14ac:dyDescent="0.25">
      <c r="A256"/>
    </row>
    <row r="257" spans="1:1" x14ac:dyDescent="0.25">
      <c r="A257" s="1" t="s">
        <v>9</v>
      </c>
    </row>
    <row r="258" spans="1:1" x14ac:dyDescent="0.25">
      <c r="A258" s="8" t="str">
        <f>"            &lt;name&gt;"&amp;'Control-Sheet'!$C55&amp;"&lt;/name&gt;"</f>
        <v xml:space="preserve">            &lt;name&gt;llre_0_0_1_4_1_0&lt;/name&gt;</v>
      </c>
    </row>
    <row r="259" spans="1:1" x14ac:dyDescent="0.25">
      <c r="A259" s="1" t="s">
        <v>10</v>
      </c>
    </row>
    <row r="260" spans="1:1" x14ac:dyDescent="0.25">
      <c r="A260" s="1" t="s">
        <v>11</v>
      </c>
    </row>
    <row r="261" spans="1:1" x14ac:dyDescent="0.25">
      <c r="A261" s="1" t="s">
        <v>12</v>
      </c>
    </row>
    <row r="262" spans="1:1" x14ac:dyDescent="0.25">
      <c r="A262" s="1" t="s">
        <v>13</v>
      </c>
    </row>
    <row r="263" spans="1:1" x14ac:dyDescent="0.25">
      <c r="A263" s="1" t="s">
        <v>14</v>
      </c>
    </row>
    <row r="264" spans="1:1" x14ac:dyDescent="0.25">
      <c r="A264" s="1" t="s">
        <v>15</v>
      </c>
    </row>
    <row r="265" spans="1:1" x14ac:dyDescent="0.25">
      <c r="A265" s="1" t="s">
        <v>16</v>
      </c>
    </row>
    <row r="266" spans="1:1" x14ac:dyDescent="0.25">
      <c r="A266" s="1" t="s">
        <v>17</v>
      </c>
    </row>
    <row r="267" spans="1:1" x14ac:dyDescent="0.25">
      <c r="A267" s="1" t="s">
        <v>18</v>
      </c>
    </row>
    <row r="268" spans="1:1" x14ac:dyDescent="0.25">
      <c r="A268" s="1"/>
    </row>
    <row r="269" spans="1:1" x14ac:dyDescent="0.25">
      <c r="A269" s="8"/>
    </row>
    <row r="270" spans="1:1" x14ac:dyDescent="0.25">
      <c r="A270" s="8"/>
    </row>
    <row r="271" spans="1:1" x14ac:dyDescent="0.25">
      <c r="A271" s="1"/>
    </row>
    <row r="272" spans="1:1" x14ac:dyDescent="0.25">
      <c r="A272" s="1" t="s">
        <v>19</v>
      </c>
    </row>
    <row r="273" spans="1:1" x14ac:dyDescent="0.25">
      <c r="A273" s="8" t="str">
        <f>"            &lt;scs&gt;"&amp;'Control-Sheet'!$D55&amp;"&lt;/scs&gt;"</f>
        <v xml:space="preserve">            &lt;scs&gt;KHZ_15&lt;/scs&gt;</v>
      </c>
    </row>
    <row r="274" spans="1:1" x14ac:dyDescent="0.25">
      <c r="A274" s="8" t="str">
        <f>"            &lt;ul-fft-sampling-offset&gt;"&amp;'Control-Sheet'!$F55&amp;"&lt;/ul-fft-sampling-offset&gt;"</f>
        <v xml:space="preserve">            &lt;ul-fft-sampling-offset&gt;0&lt;/ul-fft-sampling-offset&gt;</v>
      </c>
    </row>
    <row r="275" spans="1:1" x14ac:dyDescent="0.25">
      <c r="A275" s="1" t="s">
        <v>20</v>
      </c>
    </row>
    <row r="276" spans="1:1" x14ac:dyDescent="0.25">
      <c r="A276" s="1" t="s">
        <v>21</v>
      </c>
    </row>
    <row r="277" spans="1:1" x14ac:dyDescent="0.25">
      <c r="A277" s="1" t="s">
        <v>22</v>
      </c>
    </row>
    <row r="278" spans="1:1" x14ac:dyDescent="0.25">
      <c r="A278" s="1" t="s">
        <v>23</v>
      </c>
    </row>
    <row r="279" spans="1:1" x14ac:dyDescent="0.25">
      <c r="A279" s="1" t="s">
        <v>24</v>
      </c>
    </row>
    <row r="280" spans="1:1" x14ac:dyDescent="0.25">
      <c r="A280" s="1" t="s">
        <v>25</v>
      </c>
    </row>
    <row r="281" spans="1:1" x14ac:dyDescent="0.25">
      <c r="A281" s="8" t="str">
        <f>"            &lt;eaxc-id&gt;"&amp;'Control-Sheet'!$G55&amp;"&lt;/eaxc-id&gt;"</f>
        <v xml:space="preserve">            &lt;eaxc-id&gt;41&lt;/eaxc-id&gt;</v>
      </c>
    </row>
    <row r="282" spans="1:1" x14ac:dyDescent="0.25">
      <c r="A282" s="1" t="s">
        <v>26</v>
      </c>
    </row>
    <row r="283" spans="1:1" x14ac:dyDescent="0.25">
      <c r="A283" s="1" t="s">
        <v>27</v>
      </c>
    </row>
    <row r="284" spans="1:1" x14ac:dyDescent="0.25">
      <c r="A284" s="3" t="s">
        <v>28</v>
      </c>
    </row>
    <row r="285" spans="1:1" x14ac:dyDescent="0.25">
      <c r="A285" s="32" t="str">
        <f>"          &lt;name&gt;"&amp;'Control-Sheet'!$H55&amp;"&lt;/name&gt;"</f>
        <v xml:space="preserve">          &lt;name&gt;llre_0_0_1_4_1_0&lt;/name&gt;</v>
      </c>
    </row>
    <row r="286" spans="1:1" x14ac:dyDescent="0.25">
      <c r="A286" s="32" t="str">
        <f>"          &lt;processing-element&gt;"&amp;'Control-Sheet'!$I55&amp;"&lt;/processing-element&gt;"</f>
        <v xml:space="preserve">          &lt;processing-element&gt;ru-pe.0&lt;/processing-element&gt;</v>
      </c>
    </row>
    <row r="287" spans="1:1" x14ac:dyDescent="0.25">
      <c r="A287" s="32" t="str">
        <f>"          &lt;rx-array-carrier&gt;"&amp;'Control-Sheet'!$J55&amp;"&lt;/rx-array-carrier&gt;"</f>
        <v xml:space="preserve">          &lt;rx-array-carrier&gt;rac_0_0_1_4&lt;/rx-array-carrier&gt;</v>
      </c>
    </row>
    <row r="288" spans="1:1" x14ac:dyDescent="0.25">
      <c r="A288" s="32" t="str">
        <f>"          &lt;low-level-rx-endpoint&gt;"&amp;'Control-Sheet'!$K55&amp;"&lt;/low-level-rx-endpoint&gt;"</f>
        <v xml:space="preserve">          &lt;low-level-rx-endpoint&gt;llre_0_0_1_4_1_0&lt;/low-level-rx-endpoint&gt;</v>
      </c>
    </row>
    <row r="289" spans="1:1" x14ac:dyDescent="0.25">
      <c r="A289" s="3" t="s">
        <v>29</v>
      </c>
    </row>
    <row r="290" spans="1:1" x14ac:dyDescent="0.25">
      <c r="A290" s="36"/>
    </row>
    <row r="291" spans="1:1" x14ac:dyDescent="0.25">
      <c r="A291"/>
    </row>
    <row r="292" spans="1:1" x14ac:dyDescent="0.25">
      <c r="A292" s="33" t="s">
        <v>32</v>
      </c>
    </row>
    <row r="293" spans="1:1" x14ac:dyDescent="0.25">
      <c r="A293" s="33" t="s">
        <v>33</v>
      </c>
    </row>
    <row r="294" spans="1:1" x14ac:dyDescent="0.25">
      <c r="A294" s="33" t="s">
        <v>34</v>
      </c>
    </row>
    <row r="295" spans="1:1" x14ac:dyDescent="0.25">
      <c r="A295" s="33" t="s">
        <v>35</v>
      </c>
    </row>
  </sheetData>
  <autoFilter ref="A1:A295" xr:uid="{00000000-0009-0000-0000-000005000000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9"/>
  <sheetViews>
    <sheetView topLeftCell="A46" workbookViewId="0">
      <selection activeCell="D82" sqref="D82"/>
    </sheetView>
  </sheetViews>
  <sheetFormatPr defaultRowHeight="13.5" x14ac:dyDescent="0.25"/>
  <cols>
    <col min="1" max="1" width="64.85546875" style="35" bestFit="1" customWidth="1"/>
  </cols>
  <sheetData>
    <row r="1" spans="1:1" x14ac:dyDescent="0.25">
      <c r="A1" t="s">
        <v>177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7</v>
      </c>
    </row>
    <row r="7" spans="1:1" x14ac:dyDescent="0.25">
      <c r="A7" t="s">
        <v>8</v>
      </c>
    </row>
    <row r="8" spans="1:1" x14ac:dyDescent="0.25">
      <c r="A8" t="s">
        <v>166</v>
      </c>
    </row>
    <row r="9" spans="1:1" x14ac:dyDescent="0.25">
      <c r="A9" s="34" t="str">
        <f>"          &lt;name&gt;"&amp;'Control-Sheet'!$K20&amp;"&lt;/name&gt;"</f>
        <v xml:space="preserve">          &lt;name&gt;tac_0_0_0_1&lt;/name&gt;</v>
      </c>
    </row>
    <row r="10" spans="1:1" x14ac:dyDescent="0.25">
      <c r="A10" t="s">
        <v>178</v>
      </c>
    </row>
    <row r="11" spans="1:1" x14ac:dyDescent="0.25">
      <c r="A11" t="s">
        <v>171</v>
      </c>
    </row>
    <row r="12" spans="1:1" x14ac:dyDescent="0.25">
      <c r="A12" t="s">
        <v>166</v>
      </c>
    </row>
    <row r="13" spans="1:1" x14ac:dyDescent="0.25">
      <c r="A13" s="34" t="str">
        <f>"          &lt;name&gt;"&amp;'Control-Sheet'!$K21&amp;"&lt;/name&gt;"</f>
        <v xml:space="preserve">          &lt;name&gt;tac_0_0_1_1&lt;/name&gt;</v>
      </c>
    </row>
    <row r="14" spans="1:1" x14ac:dyDescent="0.25">
      <c r="A14" t="s">
        <v>178</v>
      </c>
    </row>
    <row r="15" spans="1:1" x14ac:dyDescent="0.25">
      <c r="A15" t="s">
        <v>171</v>
      </c>
    </row>
    <row r="16" spans="1:1" x14ac:dyDescent="0.25">
      <c r="A16" t="s">
        <v>166</v>
      </c>
    </row>
    <row r="17" spans="1:1" x14ac:dyDescent="0.25">
      <c r="A17" s="34" t="str">
        <f>"          &lt;name&gt;"&amp;'Control-Sheet'!$K22&amp;"&lt;/name&gt;"</f>
        <v xml:space="preserve">          &lt;name&gt;tac_0_0_0_2&lt;/name&gt;</v>
      </c>
    </row>
    <row r="18" spans="1:1" x14ac:dyDescent="0.25">
      <c r="A18" t="s">
        <v>178</v>
      </c>
    </row>
    <row r="19" spans="1:1" x14ac:dyDescent="0.25">
      <c r="A19" t="s">
        <v>171</v>
      </c>
    </row>
    <row r="20" spans="1:1" x14ac:dyDescent="0.25">
      <c r="A20" t="s">
        <v>166</v>
      </c>
    </row>
    <row r="21" spans="1:1" x14ac:dyDescent="0.25">
      <c r="A21" s="34" t="str">
        <f>"          &lt;name&gt;"&amp;'Control-Sheet'!$K23&amp;"&lt;/name&gt;"</f>
        <v xml:space="preserve">          &lt;name&gt;tac_0_0_1_2&lt;/name&gt;</v>
      </c>
    </row>
    <row r="22" spans="1:1" x14ac:dyDescent="0.25">
      <c r="A22" t="s">
        <v>178</v>
      </c>
    </row>
    <row r="23" spans="1:1" x14ac:dyDescent="0.25">
      <c r="A23" t="s">
        <v>171</v>
      </c>
    </row>
    <row r="24" spans="1:1" x14ac:dyDescent="0.25">
      <c r="A24" t="s">
        <v>166</v>
      </c>
    </row>
    <row r="25" spans="1:1" x14ac:dyDescent="0.25">
      <c r="A25" s="34" t="str">
        <f>"          &lt;name&gt;"&amp;'Control-Sheet'!$K24&amp;"&lt;/name&gt;"</f>
        <v xml:space="preserve">          &lt;name&gt;tac_0_0_0_3&lt;/name&gt;</v>
      </c>
    </row>
    <row r="26" spans="1:1" x14ac:dyDescent="0.25">
      <c r="A26" t="s">
        <v>178</v>
      </c>
    </row>
    <row r="27" spans="1:1" x14ac:dyDescent="0.25">
      <c r="A27" t="s">
        <v>171</v>
      </c>
    </row>
    <row r="28" spans="1:1" x14ac:dyDescent="0.25">
      <c r="A28" t="s">
        <v>166</v>
      </c>
    </row>
    <row r="29" spans="1:1" x14ac:dyDescent="0.25">
      <c r="A29" s="34" t="str">
        <f>"          &lt;name&gt;"&amp;'Control-Sheet'!$K25&amp;"&lt;/name&gt;"</f>
        <v xml:space="preserve">          &lt;name&gt;tac_0_0_1_3&lt;/name&gt;</v>
      </c>
    </row>
    <row r="30" spans="1:1" x14ac:dyDescent="0.25">
      <c r="A30" t="s">
        <v>178</v>
      </c>
    </row>
    <row r="31" spans="1:1" x14ac:dyDescent="0.25">
      <c r="A31" t="s">
        <v>171</v>
      </c>
    </row>
    <row r="32" spans="1:1" x14ac:dyDescent="0.25">
      <c r="A32" t="s">
        <v>166</v>
      </c>
    </row>
    <row r="33" spans="1:2" x14ac:dyDescent="0.25">
      <c r="A33" s="34" t="str">
        <f>"          &lt;name&gt;"&amp;'Control-Sheet'!$K26&amp;"&lt;/name&gt;"</f>
        <v xml:space="preserve">          &lt;name&gt;tac_0_0_0_4&lt;/name&gt;</v>
      </c>
    </row>
    <row r="34" spans="1:2" x14ac:dyDescent="0.25">
      <c r="A34" t="s">
        <v>178</v>
      </c>
    </row>
    <row r="35" spans="1:2" x14ac:dyDescent="0.25">
      <c r="A35" t="s">
        <v>171</v>
      </c>
    </row>
    <row r="36" spans="1:2" x14ac:dyDescent="0.25">
      <c r="A36" t="s">
        <v>166</v>
      </c>
    </row>
    <row r="37" spans="1:2" x14ac:dyDescent="0.25">
      <c r="A37" s="34" t="str">
        <f>"          &lt;name&gt;"&amp;'Control-Sheet'!$K27&amp;"&lt;/name&gt;"</f>
        <v xml:space="preserve">          &lt;name&gt;tac_0_0_1_4&lt;/name&gt;</v>
      </c>
    </row>
    <row r="38" spans="1:2" x14ac:dyDescent="0.25">
      <c r="A38" t="s">
        <v>178</v>
      </c>
      <c r="B38" s="34"/>
    </row>
    <row r="39" spans="1:2" x14ac:dyDescent="0.25">
      <c r="A39" t="s">
        <v>171</v>
      </c>
    </row>
    <row r="42" spans="1:2" x14ac:dyDescent="0.25">
      <c r="A42" t="s">
        <v>174</v>
      </c>
    </row>
    <row r="43" spans="1:2" x14ac:dyDescent="0.25">
      <c r="A43" s="34" t="str">
        <f>"          &lt;name&gt;"&amp;'Control-Sheet'!$L34&amp;"&lt;/name&gt;"</f>
        <v xml:space="preserve">          &lt;name&gt;rac_0_0_0_1&lt;/name&gt;</v>
      </c>
    </row>
    <row r="44" spans="1:2" x14ac:dyDescent="0.25">
      <c r="A44" t="s">
        <v>178</v>
      </c>
    </row>
    <row r="45" spans="1:2" x14ac:dyDescent="0.25">
      <c r="A45" t="s">
        <v>176</v>
      </c>
    </row>
    <row r="46" spans="1:2" x14ac:dyDescent="0.25">
      <c r="A46" t="s">
        <v>174</v>
      </c>
    </row>
    <row r="47" spans="1:2" x14ac:dyDescent="0.25">
      <c r="A47" s="34" t="str">
        <f>"          &lt;name&gt;"&amp;'Control-Sheet'!$L35&amp;"&lt;/name&gt;"</f>
        <v xml:space="preserve">          &lt;name&gt;rac_0_0_1_1&lt;/name&gt;</v>
      </c>
    </row>
    <row r="48" spans="1:2" x14ac:dyDescent="0.25">
      <c r="A48" t="s">
        <v>178</v>
      </c>
    </row>
    <row r="49" spans="1:1" x14ac:dyDescent="0.25">
      <c r="A49" t="s">
        <v>176</v>
      </c>
    </row>
    <row r="50" spans="1:1" x14ac:dyDescent="0.25">
      <c r="A50" t="s">
        <v>174</v>
      </c>
    </row>
    <row r="51" spans="1:1" x14ac:dyDescent="0.25">
      <c r="A51" s="34" t="str">
        <f>"          &lt;name&gt;"&amp;'Control-Sheet'!$L36&amp;"&lt;/name&gt;"</f>
        <v xml:space="preserve">          &lt;name&gt;rac_0_0_0_2&lt;/name&gt;</v>
      </c>
    </row>
    <row r="52" spans="1:1" x14ac:dyDescent="0.25">
      <c r="A52" t="s">
        <v>178</v>
      </c>
    </row>
    <row r="53" spans="1:1" x14ac:dyDescent="0.25">
      <c r="A53" t="s">
        <v>176</v>
      </c>
    </row>
    <row r="54" spans="1:1" x14ac:dyDescent="0.25">
      <c r="A54" t="s">
        <v>174</v>
      </c>
    </row>
    <row r="55" spans="1:1" x14ac:dyDescent="0.25">
      <c r="A55" s="34" t="str">
        <f>"          &lt;name&gt;"&amp;'Control-Sheet'!$L37&amp;"&lt;/name&gt;"</f>
        <v xml:space="preserve">          &lt;name&gt;rac_0_0_1_2&lt;/name&gt;</v>
      </c>
    </row>
    <row r="56" spans="1:1" x14ac:dyDescent="0.25">
      <c r="A56" t="s">
        <v>178</v>
      </c>
    </row>
    <row r="57" spans="1:1" x14ac:dyDescent="0.25">
      <c r="A57" t="s">
        <v>176</v>
      </c>
    </row>
    <row r="58" spans="1:1" x14ac:dyDescent="0.25">
      <c r="A58" t="s">
        <v>174</v>
      </c>
    </row>
    <row r="59" spans="1:1" x14ac:dyDescent="0.25">
      <c r="A59" s="34" t="str">
        <f>"          &lt;name&gt;"&amp;'Control-Sheet'!$L38&amp;"&lt;/name&gt;"</f>
        <v xml:space="preserve">          &lt;name&gt;rac_0_0_0_3&lt;/name&gt;</v>
      </c>
    </row>
    <row r="60" spans="1:1" x14ac:dyDescent="0.25">
      <c r="A60" t="s">
        <v>178</v>
      </c>
    </row>
    <row r="61" spans="1:1" x14ac:dyDescent="0.25">
      <c r="A61" t="s">
        <v>176</v>
      </c>
    </row>
    <row r="62" spans="1:1" x14ac:dyDescent="0.25">
      <c r="A62" t="s">
        <v>174</v>
      </c>
    </row>
    <row r="63" spans="1:1" x14ac:dyDescent="0.25">
      <c r="A63" s="34" t="str">
        <f>"          &lt;name&gt;"&amp;'Control-Sheet'!$L39&amp;"&lt;/name&gt;"</f>
        <v xml:space="preserve">          &lt;name&gt;rac_0_0_1_3&lt;/name&gt;</v>
      </c>
    </row>
    <row r="64" spans="1:1" x14ac:dyDescent="0.25">
      <c r="A64" t="s">
        <v>178</v>
      </c>
    </row>
    <row r="65" spans="1:1" x14ac:dyDescent="0.25">
      <c r="A65" t="s">
        <v>176</v>
      </c>
    </row>
    <row r="66" spans="1:1" x14ac:dyDescent="0.25">
      <c r="A66" t="s">
        <v>174</v>
      </c>
    </row>
    <row r="67" spans="1:1" x14ac:dyDescent="0.25">
      <c r="A67" s="34" t="str">
        <f>"          &lt;name&gt;"&amp;'Control-Sheet'!$L40&amp;"&lt;/name&gt;"</f>
        <v xml:space="preserve">          &lt;name&gt;rac_0_0_0_4&lt;/name&gt;</v>
      </c>
    </row>
    <row r="68" spans="1:1" x14ac:dyDescent="0.25">
      <c r="A68" t="s">
        <v>178</v>
      </c>
    </row>
    <row r="69" spans="1:1" x14ac:dyDescent="0.25">
      <c r="A69" t="s">
        <v>176</v>
      </c>
    </row>
    <row r="70" spans="1:1" x14ac:dyDescent="0.25">
      <c r="A70" t="s">
        <v>174</v>
      </c>
    </row>
    <row r="71" spans="1:1" x14ac:dyDescent="0.25">
      <c r="A71" s="34" t="str">
        <f>"          &lt;name&gt;"&amp;'Control-Sheet'!$L41&amp;"&lt;/name&gt;"</f>
        <v xml:space="preserve">          &lt;name&gt;rac_0_0_1_4&lt;/name&gt;</v>
      </c>
    </row>
    <row r="72" spans="1:1" x14ac:dyDescent="0.25">
      <c r="A72" t="s">
        <v>178</v>
      </c>
    </row>
    <row r="73" spans="1:1" x14ac:dyDescent="0.25">
      <c r="A73" t="s">
        <v>176</v>
      </c>
    </row>
    <row r="76" spans="1:1" x14ac:dyDescent="0.25">
      <c r="A76" t="s">
        <v>32</v>
      </c>
    </row>
    <row r="77" spans="1:1" x14ac:dyDescent="0.25">
      <c r="A77" t="s">
        <v>33</v>
      </c>
    </row>
    <row r="78" spans="1:1" x14ac:dyDescent="0.25">
      <c r="A78" t="s">
        <v>34</v>
      </c>
    </row>
    <row r="79" spans="1:1" x14ac:dyDescent="0.25">
      <c r="A79" t="s">
        <v>35</v>
      </c>
    </row>
  </sheetData>
  <autoFilter ref="A1:A7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2026-05-18T10:46:51Z</dcterms:modified>
</cp:coreProperties>
</file>