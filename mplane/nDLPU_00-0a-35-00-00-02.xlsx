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65" windowWidth="31935" windowHeight="20010" tabRatio="600" firstSheet="0" activeTab="0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  <sheet xmlns:r="http://schemas.openxmlformats.org/officeDocument/2006/relationships" name="LLTE,LLRE" sheetId="8" state="visible" r:id="rId8"/>
    <sheet xmlns:r="http://schemas.openxmlformats.org/officeDocument/2006/relationships" name="RSRP_EffBW" sheetId="9" state="visible" r:id="rId9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'ACTIVE'!$A$1:$A$93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_-* #,##0_-;\-* #,##0_-;_-* &quot;-&quot;_-;_-@_-"/>
    <numFmt numFmtId="166" formatCode="_-* #,##0.00_-;\-* #,##0.00_-;_-* &quot;-&quot;??_-;_-@_-"/>
    <numFmt numFmtId="167" formatCode="0.000000"/>
  </numFmts>
  <fonts count="13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color rgb="FFFF0000"/>
      <sz val="11"/>
    </font>
    <font>
      <name val="돋움"/>
      <charset val="129"/>
      <family val="3"/>
      <b val="1"/>
      <color rgb="FFFF0000"/>
      <sz val="11"/>
    </font>
    <font>
      <name val="맑은 고딕"/>
      <charset val="129"/>
      <family val="3"/>
      <color theme="1"/>
      <sz val="10"/>
    </font>
  </fonts>
  <fills count="1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94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8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vertical="center"/>
    </xf>
    <xf numFmtId="0" fontId="8" fillId="0" borderId="1" applyAlignment="1" pivotButton="0" quotePrefix="0" xfId="1">
      <alignment horizontal="center" vertical="center"/>
    </xf>
    <xf numFmtId="0" fontId="8" fillId="0" borderId="10" applyAlignment="1" pivotButton="0" quotePrefix="0" xfId="1">
      <alignment horizontal="center" vertical="center"/>
    </xf>
    <xf numFmtId="0" fontId="8" fillId="0" borderId="11" applyAlignment="1" pivotButton="0" quotePrefix="0" xfId="1">
      <alignment horizontal="center" vertical="center"/>
    </xf>
    <xf numFmtId="10" fontId="0" fillId="0" borderId="11" applyAlignment="1" pivotButton="0" quotePrefix="0" xfId="2">
      <alignment horizontal="center" vertical="center"/>
    </xf>
    <xf numFmtId="164" fontId="8" fillId="0" borderId="12" applyAlignment="1" pivotButton="0" quotePrefix="0" xfId="1">
      <alignment horizontal="center" vertical="center"/>
    </xf>
    <xf numFmtId="0" fontId="8" fillId="0" borderId="2" applyAlignment="1" pivotButton="0" quotePrefix="0" xfId="1">
      <alignment horizontal="center" vertical="center"/>
    </xf>
    <xf numFmtId="0" fontId="8" fillId="0" borderId="1" applyAlignment="1" pivotButton="0" quotePrefix="0" xfId="1">
      <alignment vertical="center"/>
    </xf>
    <xf numFmtId="165" fontId="0" fillId="0" borderId="1" applyAlignment="1" pivotButton="0" quotePrefix="0" xfId="3">
      <alignment vertical="center"/>
    </xf>
    <xf numFmtId="10" fontId="0" fillId="0" borderId="1" applyAlignment="1" pivotButton="0" quotePrefix="0" xfId="2">
      <alignment vertical="center"/>
    </xf>
    <xf numFmtId="166" fontId="8" fillId="0" borderId="1" applyAlignment="1" pivotButton="0" quotePrefix="0" xfId="1">
      <alignment vertical="center"/>
    </xf>
    <xf numFmtId="166" fontId="10" fillId="0" borderId="4" applyAlignment="1" pivotButton="0" quotePrefix="0" xfId="1">
      <alignment vertical="center"/>
    </xf>
    <xf numFmtId="0" fontId="8" fillId="0" borderId="2" applyAlignment="1" pivotButton="0" quotePrefix="1" xfId="1">
      <alignment horizontal="center" vertical="center"/>
    </xf>
    <xf numFmtId="165" fontId="11" fillId="0" borderId="1" applyAlignment="1" pivotButton="0" quotePrefix="1" xfId="3">
      <alignment horizontal="center" vertical="center"/>
    </xf>
    <xf numFmtId="166" fontId="8" fillId="0" borderId="4" applyAlignment="1" pivotButton="0" quotePrefix="0" xfId="1">
      <alignment vertical="center"/>
    </xf>
    <xf numFmtId="165" fontId="11" fillId="0" borderId="1" applyAlignment="1" pivotButton="0" quotePrefix="0" xfId="3">
      <alignment horizontal="center" vertical="center"/>
    </xf>
    <xf numFmtId="0" fontId="8" fillId="0" borderId="3" applyAlignment="1" pivotButton="0" quotePrefix="0" xfId="1">
      <alignment horizontal="center" vertical="center"/>
    </xf>
    <xf numFmtId="0" fontId="8" fillId="0" borderId="3" applyAlignment="1" pivotButton="0" quotePrefix="0" xfId="1">
      <alignment vertical="center"/>
    </xf>
    <xf numFmtId="0" fontId="8" fillId="0" borderId="4" applyAlignment="1" pivotButton="0" quotePrefix="0" xfId="1">
      <alignment vertical="center"/>
    </xf>
    <xf numFmtId="167" fontId="8" fillId="0" borderId="1" applyAlignment="1" pivotButton="0" quotePrefix="0" xfId="1">
      <alignment vertical="center"/>
    </xf>
    <xf numFmtId="0" fontId="8" fillId="5" borderId="1" applyAlignment="1" pivotButton="0" quotePrefix="0" xfId="1">
      <alignment vertical="center"/>
    </xf>
    <xf numFmtId="0" fontId="8" fillId="0" borderId="2" applyAlignment="1" pivotButton="0" quotePrefix="0" xfId="1">
      <alignment vertical="center"/>
    </xf>
    <xf numFmtId="0" fontId="8" fillId="0" borderId="14" applyAlignment="1" pivotButton="0" quotePrefix="0" xfId="1">
      <alignment vertical="center"/>
    </xf>
    <xf numFmtId="0" fontId="8" fillId="0" borderId="15" applyAlignment="1" pivotButton="0" quotePrefix="0" xfId="1">
      <alignment vertical="center"/>
    </xf>
    <xf numFmtId="165" fontId="0" fillId="0" borderId="1" applyAlignment="1" pivotButton="0" quotePrefix="1" xfId="3">
      <alignment vertical="center"/>
    </xf>
    <xf numFmtId="0" fontId="8" fillId="0" borderId="9" applyAlignment="1" pivotButton="0" quotePrefix="0" xfId="1">
      <alignment horizontal="center" vertical="center"/>
    </xf>
    <xf numFmtId="165" fontId="0" fillId="0" borderId="5" applyAlignment="1" pivotButton="0" quotePrefix="0" xfId="3">
      <alignment vertical="center"/>
    </xf>
    <xf numFmtId="10" fontId="0" fillId="0" borderId="5" applyAlignment="1" pivotButton="0" quotePrefix="0" xfId="2">
      <alignment vertical="center"/>
    </xf>
    <xf numFmtId="166" fontId="8" fillId="0" borderId="5" applyAlignment="1" pivotButton="0" quotePrefix="0" xfId="1">
      <alignment vertical="center"/>
    </xf>
    <xf numFmtId="166" fontId="8" fillId="0" borderId="6" applyAlignment="1" pivotButton="0" quotePrefix="0" xfId="1">
      <alignment vertical="center"/>
    </xf>
    <xf numFmtId="0" fontId="0" fillId="0" borderId="7" applyAlignment="1" pivotButton="0" quotePrefix="0" xfId="0">
      <alignment vertical="center"/>
    </xf>
    <xf numFmtId="0" fontId="12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13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8" fillId="0" borderId="3" applyAlignment="1" pivotButton="0" quotePrefix="0" xfId="1">
      <alignment horizontal="center" vertical="center"/>
    </xf>
    <xf numFmtId="0" fontId="8" fillId="0" borderId="1" applyAlignment="1" pivotButton="0" quotePrefix="0" xfId="1">
      <alignment horizontal="center" vertical="center" wrapText="1"/>
    </xf>
    <xf numFmtId="0" fontId="8" fillId="0" borderId="13" applyAlignment="1" pivotButton="0" quotePrefix="0" xfId="1">
      <alignment horizontal="center" vertical="center"/>
    </xf>
    <xf numFmtId="0" fontId="8" fillId="0" borderId="2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8" pivotButton="0" quotePrefix="0" xfId="0"/>
    <xf numFmtId="164" fontId="8" fillId="0" borderId="12" applyAlignment="1" pivotButton="0" quotePrefix="0" xfId="1">
      <alignment horizontal="center" vertical="center"/>
    </xf>
    <xf numFmtId="165" fontId="0" fillId="0" borderId="1" applyAlignment="1" pivotButton="0" quotePrefix="0" xfId="3">
      <alignment vertical="center"/>
    </xf>
    <xf numFmtId="166" fontId="8" fillId="0" borderId="1" applyAlignment="1" pivotButton="0" quotePrefix="0" xfId="1">
      <alignment vertical="center"/>
    </xf>
    <xf numFmtId="166" fontId="10" fillId="0" borderId="4" applyAlignment="1" pivotButton="0" quotePrefix="0" xfId="1">
      <alignment vertical="center"/>
    </xf>
    <xf numFmtId="165" fontId="11" fillId="0" borderId="1" applyAlignment="1" pivotButton="0" quotePrefix="1" xfId="3">
      <alignment horizontal="center" vertical="center"/>
    </xf>
    <xf numFmtId="0" fontId="0" fillId="0" borderId="22" pivotButton="0" quotePrefix="0" xfId="0"/>
    <xf numFmtId="166" fontId="8" fillId="0" borderId="4" applyAlignment="1" pivotButton="0" quotePrefix="0" xfId="1">
      <alignment vertical="center"/>
    </xf>
    <xf numFmtId="165" fontId="11" fillId="0" borderId="1" applyAlignment="1" pivotButton="0" quotePrefix="0" xfId="3">
      <alignment horizontal="center" vertical="center"/>
    </xf>
    <xf numFmtId="167" fontId="8" fillId="0" borderId="1" applyAlignment="1" pivotButton="0" quotePrefix="0" xfId="1">
      <alignment vertical="center"/>
    </xf>
    <xf numFmtId="165" fontId="0" fillId="0" borderId="1" applyAlignment="1" pivotButton="0" quotePrefix="1" xfId="3">
      <alignment vertical="center"/>
    </xf>
    <xf numFmtId="165" fontId="0" fillId="0" borderId="5" applyAlignment="1" pivotButton="0" quotePrefix="0" xfId="3">
      <alignment vertical="center"/>
    </xf>
    <xf numFmtId="166" fontId="8" fillId="0" borderId="5" applyAlignment="1" pivotButton="0" quotePrefix="0" xfId="1">
      <alignment vertical="center"/>
    </xf>
    <xf numFmtId="166" fontId="8" fillId="0" borderId="6" applyAlignment="1" pivotButton="0" quotePrefix="0" xfId="1">
      <alignment vertical="center"/>
    </xf>
  </cellXfs>
  <cellStyles count="4">
    <cellStyle name="표준" xfId="0" builtinId="0"/>
    <cellStyle name="표준 2" xfId="1"/>
    <cellStyle name="백분율 2" xfId="2"/>
    <cellStyle name="쉼표 [0] 2" xfId="3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63"/>
  <sheetViews>
    <sheetView tabSelected="1" topLeftCell="A6" zoomScale="85" zoomScaleNormal="85" workbookViewId="0">
      <selection activeCell="J64" sqref="J64"/>
    </sheetView>
  </sheetViews>
  <sheetFormatPr baseColWidth="8" defaultRowHeight="13.5"/>
  <cols>
    <col width="14.28515625" customWidth="1" style="76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76" min="20" max="20"/>
  </cols>
  <sheetData>
    <row r="1"/>
    <row r="2"/>
    <row r="3">
      <c r="B3" s="0" t="inlineStr">
        <is>
          <t>1. Cuplane-interface</t>
        </is>
      </c>
      <c r="N3" s="69" t="n"/>
      <c r="O3" s="69" t="inlineStr">
        <is>
          <t>NR</t>
        </is>
      </c>
      <c r="P3" s="77" t="n"/>
      <c r="Q3" s="69" t="inlineStr">
        <is>
          <t>LTE</t>
        </is>
      </c>
    </row>
    <row r="4">
      <c r="G4" s="69" t="inlineStr">
        <is>
          <t>삭제 금지</t>
        </is>
      </c>
      <c r="H4" s="78" t="n"/>
      <c r="I4" s="78" t="n"/>
      <c r="J4" s="78" t="n"/>
      <c r="K4" s="77" t="n"/>
      <c r="N4" s="71" t="inlineStr">
        <is>
          <t>BW</t>
        </is>
      </c>
      <c r="O4" s="69" t="inlineStr">
        <is>
          <t>KHZ_15</t>
        </is>
      </c>
      <c r="P4" s="69" t="inlineStr">
        <is>
          <t>KHZ_30</t>
        </is>
      </c>
      <c r="Q4" s="69" t="inlineStr">
        <is>
          <t>KHZ_15</t>
        </is>
      </c>
    </row>
    <row r="5">
      <c r="C5" s="69" t="inlineStr">
        <is>
          <t>name</t>
        </is>
      </c>
      <c r="D5" s="13" t="inlineStr">
        <is>
          <t>DLPU_DSD1</t>
        </is>
      </c>
      <c r="E5" s="10" t="inlineStr">
        <is>
          <t>VLAN NAME</t>
        </is>
      </c>
      <c r="G5" s="69" t="inlineStr">
        <is>
          <t xml:space="preserve">            &lt;exponent&gt;4&lt;/exponent&gt;</t>
        </is>
      </c>
      <c r="H5" s="69" t="n"/>
      <c r="I5" s="69" t="n"/>
      <c r="J5" s="69" t="n"/>
      <c r="K5" s="69" t="inlineStr">
        <is>
          <t>&lt;!--</t>
        </is>
      </c>
      <c r="N5" s="71" t="n">
        <v>5</v>
      </c>
      <c r="O5" s="69" t="n">
        <v>25</v>
      </c>
      <c r="P5" s="69" t="n">
        <v>11</v>
      </c>
      <c r="Q5" s="69" t="n">
        <v>25</v>
      </c>
    </row>
    <row r="6">
      <c r="C6" s="69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69" t="n"/>
      <c r="I6" s="69" t="n"/>
      <c r="J6" s="69" t="n"/>
      <c r="K6" s="69" t="inlineStr">
        <is>
          <t>--&gt;</t>
        </is>
      </c>
      <c r="N6" s="69" t="n">
        <v>10</v>
      </c>
      <c r="O6" s="69" t="n">
        <v>52</v>
      </c>
      <c r="P6" s="69" t="n">
        <v>24</v>
      </c>
      <c r="Q6" s="69" t="n">
        <v>50</v>
      </c>
    </row>
    <row r="7">
      <c r="C7" s="69" t="inlineStr">
        <is>
          <t>vlan id</t>
        </is>
      </c>
      <c r="D7" s="13" t="n">
        <v>1000</v>
      </c>
      <c r="E7" s="21" t="n"/>
      <c r="N7" s="69" t="n">
        <v>15</v>
      </c>
      <c r="O7" s="69" t="n">
        <v>79</v>
      </c>
      <c r="P7" s="69" t="n">
        <v>38</v>
      </c>
      <c r="Q7" s="69" t="n">
        <v>75</v>
      </c>
    </row>
    <row r="8">
      <c r="C8" s="69" t="inlineStr">
        <is>
          <t>ORU mac-address</t>
        </is>
      </c>
      <c r="D8" s="13" t="inlineStr">
        <is>
          <t>00:0a:35:00:00:02</t>
        </is>
      </c>
      <c r="E8" s="10" t="inlineStr">
        <is>
          <t>nDLPU MAC</t>
        </is>
      </c>
      <c r="N8" s="69" t="n">
        <v>20</v>
      </c>
      <c r="O8" s="69" t="n">
        <v>106</v>
      </c>
      <c r="P8" s="69" t="n">
        <v>51</v>
      </c>
      <c r="Q8" s="69" t="n">
        <v>100</v>
      </c>
    </row>
    <row r="9">
      <c r="N9" s="69" t="n">
        <v>25</v>
      </c>
      <c r="O9" s="69" t="n">
        <v>216</v>
      </c>
      <c r="P9" s="69" t="n">
        <v>65</v>
      </c>
      <c r="Q9" s="69" t="n"/>
    </row>
    <row r="10">
      <c r="N10" s="69" t="n">
        <v>30</v>
      </c>
      <c r="O10" s="69" t="n">
        <v>270</v>
      </c>
      <c r="P10" s="69" t="n">
        <v>78</v>
      </c>
      <c r="Q10" s="69" t="n"/>
    </row>
    <row r="11">
      <c r="B11" s="0" t="inlineStr">
        <is>
          <t>2. Processing element</t>
        </is>
      </c>
      <c r="N11" s="69" t="n">
        <v>40</v>
      </c>
      <c r="O11" s="69" t="n"/>
      <c r="P11" s="69" t="n">
        <v>106</v>
      </c>
      <c r="Q11" s="69" t="n"/>
    </row>
    <row r="12">
      <c r="N12" s="69" t="n">
        <v>50</v>
      </c>
      <c r="O12" s="69" t="n"/>
      <c r="P12" s="69" t="n">
        <v>133</v>
      </c>
      <c r="Q12" s="69" t="n"/>
    </row>
    <row r="13">
      <c r="C13" s="69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69" t="n">
        <v>60</v>
      </c>
      <c r="O13" s="69" t="n"/>
      <c r="P13" s="69" t="n">
        <v>162</v>
      </c>
      <c r="Q13" s="69" t="n"/>
    </row>
    <row r="14" ht="27" customHeight="1" s="76">
      <c r="C14" s="69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69" t="n">
        <v>80</v>
      </c>
      <c r="O14" s="69" t="n"/>
      <c r="P14" s="69" t="n">
        <v>217</v>
      </c>
      <c r="Q14" s="69" t="n"/>
    </row>
    <row r="15">
      <c r="N15" s="69" t="n">
        <v>90</v>
      </c>
      <c r="O15" s="69" t="n"/>
      <c r="P15" s="69" t="n">
        <v>245</v>
      </c>
      <c r="Q15" s="69" t="n"/>
    </row>
    <row r="16">
      <c r="B16" s="0" t="inlineStr">
        <is>
          <t>2-1. 해당 주파수</t>
        </is>
      </c>
      <c r="N16" s="69" t="n">
        <v>100</v>
      </c>
      <c r="O16" s="69" t="n"/>
      <c r="P16" s="69" t="n">
        <v>273</v>
      </c>
      <c r="Q16" s="69" t="n"/>
    </row>
    <row r="17">
      <c r="B17" s="0" t="inlineStr">
        <is>
          <t>CASE#1</t>
        </is>
      </c>
      <c r="C17" s="10" t="inlineStr">
        <is>
          <t>8cc</t>
        </is>
      </c>
      <c r="D17" s="55" t="n"/>
    </row>
    <row r="18">
      <c r="B18" s="61" t="inlineStr">
        <is>
          <t>주석(ON/OFF)</t>
        </is>
      </c>
      <c r="C18" s="61" t="inlineStr">
        <is>
          <t>cc</t>
        </is>
      </c>
      <c r="D18" s="61" t="inlineStr">
        <is>
          <t>ant#</t>
        </is>
      </c>
      <c r="E18" s="61" t="inlineStr">
        <is>
          <t>SCS</t>
        </is>
      </c>
      <c r="F18" s="61" t="inlineStr">
        <is>
          <t>number-of-prb</t>
        </is>
      </c>
      <c r="G18" s="61" t="inlineStr">
        <is>
          <t>iq-bitwidth</t>
        </is>
      </c>
      <c r="H18" s="61" t="inlineStr">
        <is>
          <t>compression</t>
        </is>
      </c>
      <c r="I18" s="61" t="inlineStr">
        <is>
          <t>type</t>
        </is>
      </c>
      <c r="J18" s="61" t="inlineStr">
        <is>
          <t>DL Center</t>
        </is>
      </c>
      <c r="K18" s="61" t="inlineStr">
        <is>
          <t>BW</t>
        </is>
      </c>
      <c r="L18" s="61" t="inlineStr">
        <is>
          <t>UL Center</t>
        </is>
      </c>
      <c r="M18" s="61" t="inlineStr">
        <is>
          <t>Gain</t>
        </is>
      </c>
      <c r="N18" s="61" t="inlineStr">
        <is>
          <t>External Delay(us)</t>
        </is>
      </c>
      <c r="T18" s="10" t="n"/>
    </row>
    <row r="19">
      <c r="B19" s="64" t="inlineStr">
        <is>
          <t>OFF</t>
        </is>
      </c>
      <c r="C19" s="70" t="n">
        <v>0</v>
      </c>
      <c r="D19" s="60" t="n">
        <v>1</v>
      </c>
      <c r="E19" s="70" t="n">
        <v>30</v>
      </c>
      <c r="F19" s="70" t="n">
        <v>133</v>
      </c>
      <c r="G19" s="70" t="n">
        <v>9</v>
      </c>
      <c r="H19" s="70" t="inlineStr">
        <is>
          <t>BFP</t>
        </is>
      </c>
      <c r="I19" s="70" t="inlineStr">
        <is>
          <t>NR</t>
        </is>
      </c>
      <c r="J19" s="70" t="n">
        <v>3900</v>
      </c>
      <c r="K19" s="70" t="n">
        <v>50</v>
      </c>
      <c r="L19" s="70" t="n">
        <v>3900</v>
      </c>
      <c r="M19" s="70" t="n">
        <v>0</v>
      </c>
      <c r="N19" s="70" t="n">
        <v>0</v>
      </c>
      <c r="T19" s="10" t="n"/>
    </row>
    <row r="20">
      <c r="B20" s="64" t="inlineStr">
        <is>
          <t>ON</t>
        </is>
      </c>
      <c r="C20" s="70" t="n">
        <v>1</v>
      </c>
      <c r="D20" s="60" t="n">
        <v>2</v>
      </c>
      <c r="E20" s="70" t="n">
        <v>15</v>
      </c>
      <c r="F20" s="70" t="n">
        <v>106</v>
      </c>
      <c r="G20" s="70" t="n">
        <v>9</v>
      </c>
      <c r="H20" s="79" t="n"/>
      <c r="I20" s="70" t="inlineStr">
        <is>
          <t>NR</t>
        </is>
      </c>
      <c r="J20" s="70" t="n">
        <v>1940</v>
      </c>
      <c r="K20" s="70" t="n">
        <v>20</v>
      </c>
      <c r="L20" s="70" t="n">
        <v>1860</v>
      </c>
      <c r="M20" s="70" t="n">
        <v>0</v>
      </c>
      <c r="N20" s="79" t="n"/>
      <c r="T20" s="10" t="n"/>
    </row>
    <row r="21">
      <c r="B21" s="64" t="inlineStr">
        <is>
          <t>OFF</t>
        </is>
      </c>
      <c r="C21" s="70" t="n">
        <v>2</v>
      </c>
      <c r="D21" s="60" t="n">
        <v>3</v>
      </c>
      <c r="E21" s="70" t="n">
        <v>15</v>
      </c>
      <c r="F21" s="70" t="n">
        <v>25</v>
      </c>
      <c r="G21" s="70" t="n">
        <v>9</v>
      </c>
      <c r="H21" s="79" t="n"/>
      <c r="I21" s="70" t="inlineStr">
        <is>
          <t>NR</t>
        </is>
      </c>
      <c r="J21" s="70" t="n">
        <v>864.5</v>
      </c>
      <c r="K21" s="70" t="n">
        <v>5</v>
      </c>
      <c r="L21" s="70" t="n">
        <v>832</v>
      </c>
      <c r="M21" s="70" t="n">
        <v>0</v>
      </c>
      <c r="N21" s="79" t="n"/>
      <c r="T21" s="10" t="n"/>
    </row>
    <row r="22">
      <c r="B22" s="64" t="inlineStr">
        <is>
          <t>OFF</t>
        </is>
      </c>
      <c r="C22" s="70" t="n">
        <v>3</v>
      </c>
      <c r="D22" s="60" t="n">
        <v>4</v>
      </c>
      <c r="E22" s="70" t="n">
        <v>15</v>
      </c>
      <c r="F22" s="70" t="n">
        <v>25</v>
      </c>
      <c r="G22" s="70" t="n">
        <v>9</v>
      </c>
      <c r="H22" s="80" t="n"/>
      <c r="I22" s="70" t="inlineStr">
        <is>
          <t>NR</t>
        </is>
      </c>
      <c r="J22" s="70" t="n">
        <v>2352.5</v>
      </c>
      <c r="K22" s="70" t="n">
        <v>5</v>
      </c>
      <c r="L22" s="70" t="n">
        <v>2307.5</v>
      </c>
      <c r="M22" s="70" t="n">
        <v>0</v>
      </c>
      <c r="N22" s="80" t="n"/>
      <c r="T22" s="10" t="n"/>
    </row>
    <row r="23">
      <c r="B23" s="10" t="n"/>
      <c r="G23" s="63" t="n"/>
      <c r="H23" s="63" t="n"/>
      <c r="R23" s="10" t="n">
        <v>0.509</v>
      </c>
    </row>
    <row r="24">
      <c r="R24" s="10" t="inlineStr">
        <is>
          <t>Tc = 1 / (480kHz · 4096) = 0.509 ns</t>
        </is>
      </c>
    </row>
    <row r="25">
      <c r="B25" s="0" t="inlineStr">
        <is>
          <t>3. PDSCH</t>
        </is>
      </c>
      <c r="R25" s="10" t="inlineStr">
        <is>
          <t xml:space="preserve">TC =~ 0.5 ns = 1/1.96608GHz
</t>
        </is>
      </c>
      <c r="W25" s="0" t="inlineStr">
        <is>
          <t>&lt;exponent&gt;4&lt;exponent&gt;</t>
        </is>
      </c>
    </row>
    <row r="26">
      <c r="R26" s="10" t="n">
        <v>10000</v>
      </c>
    </row>
    <row r="27">
      <c r="B27" s="69" t="n"/>
      <c r="C27" s="22" t="inlineStr">
        <is>
          <t>end-point</t>
        </is>
      </c>
      <c r="D27" s="22" t="n"/>
      <c r="E27" s="22" t="n"/>
      <c r="F27" s="22" t="n"/>
      <c r="G27" s="22" t="inlineStr">
        <is>
          <t>link</t>
        </is>
      </c>
      <c r="H27" s="22" t="n"/>
      <c r="I27" s="22" t="n"/>
      <c r="J27" s="22" t="n"/>
      <c r="K27" s="22" t="inlineStr">
        <is>
          <t>array-carrier</t>
        </is>
      </c>
      <c r="L27" s="22" t="n"/>
      <c r="M27" s="22" t="n"/>
      <c r="N27" s="22" t="n"/>
      <c r="O27" s="22" t="n"/>
      <c r="P27" s="22" t="n"/>
      <c r="Q27" s="22" t="n"/>
      <c r="R27" s="22" t="n">
        <v>100</v>
      </c>
      <c r="S27" s="0" t="n">
        <v>6.81</v>
      </c>
    </row>
    <row r="28">
      <c r="B28" s="80" t="n"/>
      <c r="C28" s="12" t="inlineStr">
        <is>
          <t>name</t>
        </is>
      </c>
      <c r="D28" s="12" t="inlineStr">
        <is>
          <t>scs</t>
        </is>
      </c>
      <c r="E28" s="12" t="inlineStr">
        <is>
          <t>number-of-prb</t>
        </is>
      </c>
      <c r="F28" s="12" t="inlineStr">
        <is>
          <t>eaxc-id</t>
        </is>
      </c>
      <c r="G28" s="12" t="inlineStr">
        <is>
          <t>name</t>
        </is>
      </c>
      <c r="H28" s="12" t="inlineStr">
        <is>
          <t>processing-element</t>
        </is>
      </c>
      <c r="I28" s="12" t="inlineStr">
        <is>
          <t>rx-array-carrier</t>
        </is>
      </c>
      <c r="J28" s="12" t="inlineStr">
        <is>
          <t>low-level-rx-endpoint</t>
        </is>
      </c>
      <c r="K28" s="12" t="inlineStr">
        <is>
          <t>name</t>
        </is>
      </c>
      <c r="L28" s="12" t="inlineStr">
        <is>
          <t>iq-bitwidth</t>
        </is>
      </c>
      <c r="M28" s="12" t="inlineStr">
        <is>
          <t>compression</t>
        </is>
      </c>
      <c r="N28" s="12" t="inlineStr">
        <is>
          <t>Center-FREQ</t>
        </is>
      </c>
      <c r="O28" s="12" t="inlineStr">
        <is>
          <t>Channel-BW</t>
        </is>
      </c>
      <c r="P28" s="12" t="inlineStr">
        <is>
          <t>type</t>
        </is>
      </c>
      <c r="Q28" s="12" t="inlineStr">
        <is>
          <t>gain</t>
        </is>
      </c>
      <c r="R28" s="12" t="inlineStr">
        <is>
          <t>T-da-offset</t>
        </is>
      </c>
      <c r="S28" s="0" t="n"/>
    </row>
    <row r="29">
      <c r="B29" s="69" t="inlineStr">
        <is>
          <t>C0</t>
        </is>
      </c>
      <c r="C29" s="69">
        <f>"llte_0_" &amp; MID(C19, 1, 1)&amp;"_0_1_0_0"</f>
        <v/>
      </c>
      <c r="D29" s="69">
        <f>"KHZ_" &amp; MID(E19, 1, 2)</f>
        <v/>
      </c>
      <c r="E29" s="69">
        <f>F19</f>
        <v/>
      </c>
      <c r="F29" s="13" t="n">
        <v>2</v>
      </c>
      <c r="G29" s="69">
        <f>"lltl_" &amp; MID(C29, 6, 11)</f>
        <v/>
      </c>
      <c r="H29" s="69">
        <f>$D$13</f>
        <v/>
      </c>
      <c r="I29" s="69">
        <f>"tac_" &amp; MID(C29, 6, 7)</f>
        <v/>
      </c>
      <c r="J29" s="69">
        <f>C29</f>
        <v/>
      </c>
      <c r="K29" s="69">
        <f>I29</f>
        <v/>
      </c>
      <c r="L29" s="69">
        <f>$G$19</f>
        <v/>
      </c>
      <c r="M29" s="69">
        <f>$H$19</f>
        <v/>
      </c>
      <c r="N29" s="69">
        <f>J19</f>
        <v/>
      </c>
      <c r="O29" s="69">
        <f>K19</f>
        <v/>
      </c>
      <c r="P29" s="69">
        <f>I19</f>
        <v/>
      </c>
      <c r="Q29" s="69">
        <f>$M$19</f>
        <v/>
      </c>
      <c r="R29" s="69">
        <f>ROUND($R$26/$R$23,0.1)</f>
        <v/>
      </c>
      <c r="T29" s="0" t="n">
        <v>6.8</v>
      </c>
      <c r="V29" s="10">
        <f>DEC2HEX(F29)</f>
        <v/>
      </c>
      <c r="W29" s="0" t="n">
        <v>7</v>
      </c>
    </row>
    <row r="30">
      <c r="B30" s="69" t="inlineStr">
        <is>
          <t>C1</t>
        </is>
      </c>
      <c r="C30" s="69">
        <f>"llte_0_" &amp; MID(C19, 1, 1)&amp;"_1_1_0_0"</f>
        <v/>
      </c>
      <c r="D30" s="69">
        <f>D29</f>
        <v/>
      </c>
      <c r="E30" s="69">
        <f>E29</f>
        <v/>
      </c>
      <c r="F30" s="13" t="n">
        <v>3</v>
      </c>
      <c r="G30" s="69">
        <f>"lltl_" &amp; MID(C30, 6, 11)</f>
        <v/>
      </c>
      <c r="H30" s="69">
        <f>$D$13</f>
        <v/>
      </c>
      <c r="I30" s="69">
        <f>"tac_" &amp; MID(C30, 6, 7)</f>
        <v/>
      </c>
      <c r="J30" s="69">
        <f>C30</f>
        <v/>
      </c>
      <c r="K30" s="69">
        <f>I30</f>
        <v/>
      </c>
      <c r="L30" s="69">
        <f>L29</f>
        <v/>
      </c>
      <c r="M30" s="69">
        <f>$H$19</f>
        <v/>
      </c>
      <c r="N30" s="69">
        <f>J19+K19</f>
        <v/>
      </c>
      <c r="O30" s="69">
        <f>O29</f>
        <v/>
      </c>
      <c r="P30" s="69">
        <f>P29</f>
        <v/>
      </c>
      <c r="Q30" s="69">
        <f>$M$19</f>
        <v/>
      </c>
      <c r="R30" s="69">
        <f>ROUND($R$26/$R$23,0.1)</f>
        <v/>
      </c>
      <c r="T30" s="0" t="n">
        <v>4.2</v>
      </c>
      <c r="V30" s="10">
        <f>DEC2HEX(F30)</f>
        <v/>
      </c>
      <c r="W30" s="0">
        <f>W29</f>
        <v/>
      </c>
    </row>
    <row r="31">
      <c r="B31" s="69" t="inlineStr">
        <is>
          <t>C2</t>
        </is>
      </c>
      <c r="C31" s="69">
        <f>"llte_0_" &amp; MID(C20, 1, 1)&amp;"_0_2_0_0"</f>
        <v/>
      </c>
      <c r="D31" s="69">
        <f>"KHZ_" &amp; MID(E20, 1, 2)</f>
        <v/>
      </c>
      <c r="E31" s="69">
        <f>F20</f>
        <v/>
      </c>
      <c r="F31" s="13" t="n">
        <v>4</v>
      </c>
      <c r="G31" s="69">
        <f>"lltl_" &amp; MID(C31, 6, 11)</f>
        <v/>
      </c>
      <c r="H31" s="69">
        <f>$D$13</f>
        <v/>
      </c>
      <c r="I31" s="69">
        <f>"tac_" &amp; MID(C31, 6, 7)</f>
        <v/>
      </c>
      <c r="J31" s="69">
        <f>C31</f>
        <v/>
      </c>
      <c r="K31" s="69">
        <f>I31</f>
        <v/>
      </c>
      <c r="L31" s="69">
        <f>$G$20</f>
        <v/>
      </c>
      <c r="M31" s="69">
        <f>$H$19</f>
        <v/>
      </c>
      <c r="N31" s="69">
        <f>J20</f>
        <v/>
      </c>
      <c r="O31" s="69">
        <f>K20</f>
        <v/>
      </c>
      <c r="P31" s="69">
        <f>I20</f>
        <v/>
      </c>
      <c r="Q31" s="69">
        <f>$M$20</f>
        <v/>
      </c>
      <c r="R31" s="69">
        <f>ROUND($R$26/$R$23,0.1)</f>
        <v/>
      </c>
      <c r="V31" s="10">
        <f>DEC2HEX(F31)</f>
        <v/>
      </c>
      <c r="W31" s="0">
        <f>W30</f>
        <v/>
      </c>
    </row>
    <row r="32">
      <c r="B32" s="69" t="inlineStr">
        <is>
          <t>C3</t>
        </is>
      </c>
      <c r="C32" s="69">
        <f>"llte_0_" &amp; MID(C20, 1, 1)&amp;"_1_2_0_0"</f>
        <v/>
      </c>
      <c r="D32" s="69">
        <f>D31</f>
        <v/>
      </c>
      <c r="E32" s="69">
        <f>E31</f>
        <v/>
      </c>
      <c r="F32" s="13" t="n">
        <v>5</v>
      </c>
      <c r="G32" s="69">
        <f>"lltl_" &amp; MID(C32, 6, 11)</f>
        <v/>
      </c>
      <c r="H32" s="69">
        <f>$D$13</f>
        <v/>
      </c>
      <c r="I32" s="69">
        <f>"tac_" &amp; MID(C32, 6, 7)</f>
        <v/>
      </c>
      <c r="J32" s="69">
        <f>C32</f>
        <v/>
      </c>
      <c r="K32" s="69">
        <f>I32</f>
        <v/>
      </c>
      <c r="L32" s="69">
        <f>L31</f>
        <v/>
      </c>
      <c r="M32" s="69">
        <f>$H$19</f>
        <v/>
      </c>
      <c r="N32" s="69">
        <f>N31+O31</f>
        <v/>
      </c>
      <c r="O32" s="69">
        <f>O31</f>
        <v/>
      </c>
      <c r="P32" s="69">
        <f>P31</f>
        <v/>
      </c>
      <c r="Q32" s="69">
        <f>$M$20</f>
        <v/>
      </c>
      <c r="R32" s="69">
        <f>ROUND($R$26/$R$23,0.1)</f>
        <v/>
      </c>
      <c r="V32" s="10">
        <f>DEC2HEX(F32)</f>
        <v/>
      </c>
      <c r="W32" s="0">
        <f>W31</f>
        <v/>
      </c>
    </row>
    <row r="33">
      <c r="B33" s="69" t="inlineStr">
        <is>
          <t>C4</t>
        </is>
      </c>
      <c r="C33" s="69">
        <f>"llte_0_" &amp; MID(C21, 1, 1)&amp;"_0_3_0_0"</f>
        <v/>
      </c>
      <c r="D33" s="69">
        <f>"KHZ_" &amp; MID(E21, 1, 2)</f>
        <v/>
      </c>
      <c r="E33" s="69">
        <f>F21</f>
        <v/>
      </c>
      <c r="F33" s="13" t="n">
        <v>6</v>
      </c>
      <c r="G33" s="69">
        <f>"lltl_" &amp; MID(C33, 6, 11)</f>
        <v/>
      </c>
      <c r="H33" s="69">
        <f>$D$13</f>
        <v/>
      </c>
      <c r="I33" s="69">
        <f>"tac_" &amp; MID(C33, 6, 7)</f>
        <v/>
      </c>
      <c r="J33" s="69">
        <f>C33</f>
        <v/>
      </c>
      <c r="K33" s="69">
        <f>I33</f>
        <v/>
      </c>
      <c r="L33" s="69">
        <f>$G$21</f>
        <v/>
      </c>
      <c r="M33" s="69">
        <f>$H$19</f>
        <v/>
      </c>
      <c r="N33" s="69">
        <f>J21</f>
        <v/>
      </c>
      <c r="O33" s="69">
        <f>K21</f>
        <v/>
      </c>
      <c r="P33" s="69">
        <f>I21</f>
        <v/>
      </c>
      <c r="Q33" s="69">
        <f>$M$21</f>
        <v/>
      </c>
      <c r="R33" s="69">
        <f>ROUND($R$26/$R$23,0.1)</f>
        <v/>
      </c>
      <c r="V33" s="10">
        <f>DEC2HEX(F33)</f>
        <v/>
      </c>
      <c r="W33" s="0">
        <f>W32</f>
        <v/>
      </c>
      <c r="AH33" s="12" t="inlineStr">
        <is>
          <t>UL Center</t>
        </is>
      </c>
    </row>
    <row r="34">
      <c r="B34" s="69" t="inlineStr">
        <is>
          <t>C5</t>
        </is>
      </c>
      <c r="C34" s="69">
        <f>"llte_0_" &amp; MID(C21, 1, 1)&amp;"_1_3_0_0"</f>
        <v/>
      </c>
      <c r="D34" s="69">
        <f>D33</f>
        <v/>
      </c>
      <c r="E34" s="69">
        <f>E33</f>
        <v/>
      </c>
      <c r="F34" s="13" t="n">
        <v>7</v>
      </c>
      <c r="G34" s="69">
        <f>"lltl_" &amp; MID(C34, 6, 11)</f>
        <v/>
      </c>
      <c r="H34" s="69">
        <f>$D$13</f>
        <v/>
      </c>
      <c r="I34" s="69">
        <f>"tac_" &amp; MID(C34, 6, 7)</f>
        <v/>
      </c>
      <c r="J34" s="69">
        <f>C34</f>
        <v/>
      </c>
      <c r="K34" s="69">
        <f>I34</f>
        <v/>
      </c>
      <c r="L34" s="69">
        <f>L33</f>
        <v/>
      </c>
      <c r="M34" s="69">
        <f>$H$19</f>
        <v/>
      </c>
      <c r="N34" s="69">
        <f>N33+O33</f>
        <v/>
      </c>
      <c r="O34" s="69">
        <f>O33</f>
        <v/>
      </c>
      <c r="P34" s="69">
        <f>P33</f>
        <v/>
      </c>
      <c r="Q34" s="69">
        <f>$M$21</f>
        <v/>
      </c>
      <c r="R34" s="69">
        <f>ROUND($R$26/$R$23,0.1)</f>
        <v/>
      </c>
      <c r="V34" s="10">
        <f>DEC2HEX(F34)</f>
        <v/>
      </c>
      <c r="W34" s="0">
        <f>W33</f>
        <v/>
      </c>
      <c r="AH34" s="12" t="n">
        <v>3900</v>
      </c>
    </row>
    <row r="35">
      <c r="B35" s="69" t="inlineStr">
        <is>
          <t>C6</t>
        </is>
      </c>
      <c r="C35" s="69">
        <f>"llte_0_" &amp; MID(C22, 1, 1)&amp;"_0_4_0_0"</f>
        <v/>
      </c>
      <c r="D35" s="69">
        <f>"KHZ_" &amp; MID(E22, 1, 2)</f>
        <v/>
      </c>
      <c r="E35" s="69">
        <f>F22</f>
        <v/>
      </c>
      <c r="F35" s="13" t="n">
        <v>8</v>
      </c>
      <c r="G35" s="69">
        <f>"lltl_" &amp; MID(C35, 6, 11)</f>
        <v/>
      </c>
      <c r="H35" s="69">
        <f>$D$13</f>
        <v/>
      </c>
      <c r="I35" s="69">
        <f>"tac_" &amp; MID(C35, 6, 7)</f>
        <v/>
      </c>
      <c r="J35" s="69">
        <f>C35</f>
        <v/>
      </c>
      <c r="K35" s="69">
        <f>I35</f>
        <v/>
      </c>
      <c r="L35" s="69">
        <f>$G$22</f>
        <v/>
      </c>
      <c r="M35" s="69">
        <f>$H$19</f>
        <v/>
      </c>
      <c r="N35" s="69">
        <f>J22</f>
        <v/>
      </c>
      <c r="O35" s="69">
        <f>K22</f>
        <v/>
      </c>
      <c r="P35" s="69">
        <f>I22</f>
        <v/>
      </c>
      <c r="Q35" s="69">
        <f>$M$22</f>
        <v/>
      </c>
      <c r="R35" s="69">
        <f>ROUND($R$26/$R$23,0.1)</f>
        <v/>
      </c>
      <c r="V35" s="10">
        <f>DEC2HEX(F35)</f>
        <v/>
      </c>
      <c r="W35" s="0">
        <f>W34</f>
        <v/>
      </c>
    </row>
    <row r="36">
      <c r="B36" s="69" t="inlineStr">
        <is>
          <t>C7</t>
        </is>
      </c>
      <c r="C36" s="69">
        <f>"llte_0_" &amp; MID(C22, 1, 1)&amp;"_1_4_0_0"</f>
        <v/>
      </c>
      <c r="D36" s="69">
        <f>D35</f>
        <v/>
      </c>
      <c r="E36" s="69">
        <f>E35</f>
        <v/>
      </c>
      <c r="F36" s="13" t="n">
        <v>9</v>
      </c>
      <c r="G36" s="69">
        <f>"lltl_" &amp; MID(C36, 6, 11)</f>
        <v/>
      </c>
      <c r="H36" s="69">
        <f>$D$13</f>
        <v/>
      </c>
      <c r="I36" s="69">
        <f>"tac_" &amp; MID(C36, 6, 7)</f>
        <v/>
      </c>
      <c r="J36" s="69">
        <f>C36</f>
        <v/>
      </c>
      <c r="K36" s="69">
        <f>I36</f>
        <v/>
      </c>
      <c r="L36" s="69">
        <f>L35</f>
        <v/>
      </c>
      <c r="M36" s="69">
        <f>$H$19</f>
        <v/>
      </c>
      <c r="N36" s="69">
        <f>N35+O35</f>
        <v/>
      </c>
      <c r="O36" s="69">
        <f>O35</f>
        <v/>
      </c>
      <c r="P36" s="69">
        <f>P35</f>
        <v/>
      </c>
      <c r="Q36" s="69">
        <f>$M$22</f>
        <v/>
      </c>
      <c r="R36" s="69">
        <f>ROUND($R$26/$R$23,0.1)</f>
        <v/>
      </c>
      <c r="V36" s="10">
        <f>DEC2HEX(F36)</f>
        <v/>
      </c>
      <c r="W36" s="0">
        <f>W35</f>
        <v/>
      </c>
    </row>
    <row r="37">
      <c r="B37" s="10" t="n"/>
      <c r="C37" s="10" t="inlineStr">
        <is>
          <t>고정</t>
        </is>
      </c>
      <c r="F37" s="10" t="inlineStr">
        <is>
          <t>dec (oran은 hex로)</t>
        </is>
      </c>
      <c r="G37" s="10" t="inlineStr">
        <is>
          <t>가능하나 고정</t>
        </is>
      </c>
      <c r="H37" s="10" t="inlineStr">
        <is>
          <t>가능하나 고정</t>
        </is>
      </c>
      <c r="I37" s="10" t="inlineStr">
        <is>
          <t>가능하나 고정</t>
        </is>
      </c>
      <c r="J37" s="10">
        <f>C37</f>
        <v/>
      </c>
      <c r="K37" s="10" t="inlineStr">
        <is>
          <t>가능하나 고정</t>
        </is>
      </c>
    </row>
    <row r="38">
      <c r="B38" s="0" t="inlineStr">
        <is>
          <t>4. PUSCH</t>
        </is>
      </c>
      <c r="S38" s="10" t="inlineStr">
        <is>
          <t xml:space="preserve">TC =~ 0.5 ns = 1/1.96608GHz
</t>
        </is>
      </c>
    </row>
    <row r="39">
      <c r="R39" s="10">
        <f>R42*R23</f>
        <v/>
      </c>
      <c r="S39" s="10">
        <f>S40*1000</f>
        <v/>
      </c>
      <c r="V39" s="0">
        <f>R40</f>
        <v/>
      </c>
      <c r="W39" s="0">
        <f>V39/1000</f>
        <v/>
      </c>
      <c r="X39" s="0" t="n">
        <v>10</v>
      </c>
      <c r="Y39" s="0">
        <f>X39-W39</f>
        <v/>
      </c>
    </row>
    <row r="40">
      <c r="B40" s="69" t="n"/>
      <c r="C40" s="22" t="inlineStr">
        <is>
          <t>end-point</t>
        </is>
      </c>
      <c r="D40" s="22" t="n"/>
      <c r="E40" s="22" t="n"/>
      <c r="F40" s="22" t="n"/>
      <c r="G40" s="22" t="n"/>
      <c r="H40" s="22" t="inlineStr">
        <is>
          <t>link</t>
        </is>
      </c>
      <c r="I40" s="22" t="n"/>
      <c r="J40" s="22" t="n"/>
      <c r="K40" s="22" t="n"/>
      <c r="L40" s="22" t="n"/>
      <c r="M40" s="22" t="n"/>
      <c r="N40" s="22" t="inlineStr">
        <is>
          <t>array-carrier</t>
        </is>
      </c>
      <c r="O40" s="22" t="n"/>
      <c r="P40" s="22" t="n"/>
      <c r="Q40" s="22" t="n"/>
      <c r="R40" s="22">
        <f>R39/1000</f>
        <v/>
      </c>
      <c r="S40" s="22" t="n">
        <v>100</v>
      </c>
      <c r="T40" s="0" t="n">
        <v>1.89</v>
      </c>
      <c r="U40" s="0" t="n">
        <v>4.09</v>
      </c>
      <c r="V40" s="0">
        <f>S40+R40</f>
        <v/>
      </c>
      <c r="W40" s="0">
        <f>V40/1000</f>
        <v/>
      </c>
      <c r="X40" s="0" t="n">
        <v>10</v>
      </c>
      <c r="Y40" s="0">
        <f>X40-W40</f>
        <v/>
      </c>
    </row>
    <row r="41">
      <c r="B41" s="80" t="n"/>
      <c r="C41" s="12" t="inlineStr">
        <is>
          <t>name</t>
        </is>
      </c>
      <c r="D41" s="12" t="inlineStr">
        <is>
          <t>scs</t>
        </is>
      </c>
      <c r="E41" s="12" t="inlineStr">
        <is>
          <t>number-of-prb</t>
        </is>
      </c>
      <c r="F41" s="12" t="inlineStr">
        <is>
          <t>ul-fft-sampling-offset</t>
        </is>
      </c>
      <c r="G41" s="12" t="inlineStr">
        <is>
          <t>eaxc-id</t>
        </is>
      </c>
      <c r="H41" s="12" t="inlineStr">
        <is>
          <t>name</t>
        </is>
      </c>
      <c r="I41" s="12" t="inlineStr">
        <is>
          <t>processing-element</t>
        </is>
      </c>
      <c r="J41" s="12" t="inlineStr">
        <is>
          <t>rx-array-carrier</t>
        </is>
      </c>
      <c r="K41" s="12" t="inlineStr">
        <is>
          <t>low-level-rx-endpoint</t>
        </is>
      </c>
      <c r="L41" s="12" t="inlineStr">
        <is>
          <t>iq-bitwidth</t>
        </is>
      </c>
      <c r="M41" s="12" t="inlineStr">
        <is>
          <t>compression</t>
        </is>
      </c>
      <c r="N41" s="12" t="inlineStr">
        <is>
          <t>name</t>
        </is>
      </c>
      <c r="O41" s="12" t="inlineStr">
        <is>
          <t>Center-FREQ</t>
        </is>
      </c>
      <c r="P41" s="12" t="inlineStr">
        <is>
          <t>Channel-BW</t>
        </is>
      </c>
      <c r="Q41" s="12" t="inlineStr">
        <is>
          <t>type</t>
        </is>
      </c>
      <c r="R41" s="12" t="inlineStr">
        <is>
          <t>n-ta-offset</t>
        </is>
      </c>
      <c r="S41" s="12" t="inlineStr">
        <is>
          <t>T-au-offset</t>
        </is>
      </c>
      <c r="T41" s="12" t="inlineStr">
        <is>
          <t>Gain-Correction</t>
        </is>
      </c>
    </row>
    <row r="42">
      <c r="B42" s="69" t="inlineStr">
        <is>
          <t>C0</t>
        </is>
      </c>
      <c r="C42" s="69">
        <f>"llre_" &amp; MID(C29, 6, 11)</f>
        <v/>
      </c>
      <c r="D42" s="69">
        <f>D29</f>
        <v/>
      </c>
      <c r="E42" s="69">
        <f>E29</f>
        <v/>
      </c>
      <c r="F42" s="69" t="n">
        <v>0</v>
      </c>
      <c r="G42" s="13" t="n">
        <v>18</v>
      </c>
      <c r="H42" s="69">
        <f>"llrl_" &amp; MID(C42, 6, 11)</f>
        <v/>
      </c>
      <c r="I42" s="69">
        <f>$D$13</f>
        <v/>
      </c>
      <c r="J42" s="69">
        <f>"rac_" &amp; MID(C42, 6, 7)</f>
        <v/>
      </c>
      <c r="K42" s="69">
        <f>C42</f>
        <v/>
      </c>
      <c r="L42" s="69">
        <f>$G$19</f>
        <v/>
      </c>
      <c r="M42" s="69">
        <f>$H$19</f>
        <v/>
      </c>
      <c r="N42" s="69">
        <f>J42</f>
        <v/>
      </c>
      <c r="O42" s="69">
        <f>L19</f>
        <v/>
      </c>
      <c r="P42" s="69">
        <f>O29</f>
        <v/>
      </c>
      <c r="Q42" s="69">
        <f>P29</f>
        <v/>
      </c>
      <c r="R42" s="13" t="n">
        <v>25600</v>
      </c>
      <c r="S42" s="69">
        <f>ROUND($R$26/$R$23,0.1)</f>
        <v/>
      </c>
      <c r="T42" s="56" t="n">
        <v>0</v>
      </c>
      <c r="V42" s="0">
        <f>DEC2HEX(G42)</f>
        <v/>
      </c>
    </row>
    <row r="43">
      <c r="B43" s="69" t="inlineStr">
        <is>
          <t>C1</t>
        </is>
      </c>
      <c r="C43" s="69">
        <f>"llre_" &amp; MID(C30, 6, 11)</f>
        <v/>
      </c>
      <c r="D43" s="69">
        <f>D30</f>
        <v/>
      </c>
      <c r="E43" s="69">
        <f>E30</f>
        <v/>
      </c>
      <c r="F43" s="69" t="n">
        <v>0</v>
      </c>
      <c r="G43" s="13" t="n">
        <v>19</v>
      </c>
      <c r="H43" s="69">
        <f>"llrl_" &amp; MID(C43, 6, 11)</f>
        <v/>
      </c>
      <c r="I43" s="69">
        <f>$D$13</f>
        <v/>
      </c>
      <c r="J43" s="69">
        <f>"rac_" &amp; MID(C43, 6, 7)</f>
        <v/>
      </c>
      <c r="K43" s="69">
        <f>C43</f>
        <v/>
      </c>
      <c r="L43" s="10">
        <f>L42</f>
        <v/>
      </c>
      <c r="M43" s="69">
        <f>$H$19</f>
        <v/>
      </c>
      <c r="N43" s="69">
        <f>J43</f>
        <v/>
      </c>
      <c r="O43" s="10">
        <f>O42+P42</f>
        <v/>
      </c>
      <c r="P43" s="69">
        <f>O30</f>
        <v/>
      </c>
      <c r="Q43" s="69">
        <f>P30</f>
        <v/>
      </c>
      <c r="R43" s="13" t="n">
        <v>25600</v>
      </c>
      <c r="S43" s="69">
        <f>ROUND($R$26/$R$23,0.1)</f>
        <v/>
      </c>
      <c r="T43" s="56" t="n">
        <v>0</v>
      </c>
      <c r="V43" s="0">
        <f>DEC2HEX(G43)</f>
        <v/>
      </c>
    </row>
    <row r="44">
      <c r="B44" s="69" t="inlineStr">
        <is>
          <t>C2</t>
        </is>
      </c>
      <c r="C44" s="69">
        <f>"llre_" &amp; MID(C31, 6, 11)</f>
        <v/>
      </c>
      <c r="D44" s="69">
        <f>D31</f>
        <v/>
      </c>
      <c r="E44" s="69">
        <f>E31</f>
        <v/>
      </c>
      <c r="F44" s="69" t="n">
        <v>0</v>
      </c>
      <c r="G44" s="13" t="n">
        <v>20</v>
      </c>
      <c r="H44" s="69">
        <f>"llrl_" &amp; MID(C44, 6, 11)</f>
        <v/>
      </c>
      <c r="I44" s="69">
        <f>$D$13</f>
        <v/>
      </c>
      <c r="J44" s="69">
        <f>"rac_" &amp; MID(C44, 6, 7)</f>
        <v/>
      </c>
      <c r="K44" s="69">
        <f>C44</f>
        <v/>
      </c>
      <c r="L44" s="69">
        <f>$G$20</f>
        <v/>
      </c>
      <c r="M44" s="69">
        <f>$H$19</f>
        <v/>
      </c>
      <c r="N44" s="69">
        <f>J44</f>
        <v/>
      </c>
      <c r="O44" s="69">
        <f>L20</f>
        <v/>
      </c>
      <c r="P44" s="69">
        <f>O31</f>
        <v/>
      </c>
      <c r="Q44" s="69">
        <f>P31</f>
        <v/>
      </c>
      <c r="R44" s="13" t="n">
        <v>25600</v>
      </c>
      <c r="S44" s="69">
        <f>ROUND($R$26/$R$23,0.1)</f>
        <v/>
      </c>
      <c r="T44" s="56" t="n">
        <v>0</v>
      </c>
      <c r="V44" s="0">
        <f>DEC2HEX(G44)</f>
        <v/>
      </c>
    </row>
    <row r="45">
      <c r="B45" s="69" t="inlineStr">
        <is>
          <t>C3</t>
        </is>
      </c>
      <c r="C45" s="69">
        <f>"llre_" &amp; MID(C32, 6, 11)</f>
        <v/>
      </c>
      <c r="D45" s="69">
        <f>D32</f>
        <v/>
      </c>
      <c r="E45" s="69">
        <f>E32</f>
        <v/>
      </c>
      <c r="F45" s="69" t="n">
        <v>0</v>
      </c>
      <c r="G45" s="13" t="n">
        <v>21</v>
      </c>
      <c r="H45" s="69">
        <f>"llrl_" &amp; MID(C45, 6, 11)</f>
        <v/>
      </c>
      <c r="I45" s="69">
        <f>$D$13</f>
        <v/>
      </c>
      <c r="J45" s="69">
        <f>"rac_" &amp; MID(C45, 6, 7)</f>
        <v/>
      </c>
      <c r="K45" s="69">
        <f>C45</f>
        <v/>
      </c>
      <c r="L45" s="10">
        <f>L44</f>
        <v/>
      </c>
      <c r="M45" s="69">
        <f>$H$19</f>
        <v/>
      </c>
      <c r="N45" s="69">
        <f>J45</f>
        <v/>
      </c>
      <c r="O45" s="10">
        <f>O44+P44</f>
        <v/>
      </c>
      <c r="P45" s="69">
        <f>O32</f>
        <v/>
      </c>
      <c r="Q45" s="69">
        <f>P32</f>
        <v/>
      </c>
      <c r="R45" s="13" t="n">
        <v>25600</v>
      </c>
      <c r="S45" s="69">
        <f>ROUND($R$26/$R$23,0.1)</f>
        <v/>
      </c>
      <c r="T45" s="56" t="n">
        <v>0</v>
      </c>
      <c r="V45" s="0">
        <f>DEC2HEX(G45)</f>
        <v/>
      </c>
    </row>
    <row r="46">
      <c r="B46" s="69" t="inlineStr">
        <is>
          <t>C4</t>
        </is>
      </c>
      <c r="C46" s="69">
        <f>"llre_" &amp; MID(C33, 6, 11)</f>
        <v/>
      </c>
      <c r="D46" s="69">
        <f>D33</f>
        <v/>
      </c>
      <c r="E46" s="69">
        <f>E33</f>
        <v/>
      </c>
      <c r="F46" s="69" t="n">
        <v>0</v>
      </c>
      <c r="G46" s="13" t="n">
        <v>22</v>
      </c>
      <c r="H46" s="69">
        <f>"llrl_" &amp; MID(C46, 6, 11)</f>
        <v/>
      </c>
      <c r="I46" s="69">
        <f>$D$13</f>
        <v/>
      </c>
      <c r="J46" s="69">
        <f>"rac_" &amp; MID(C46, 6, 7)</f>
        <v/>
      </c>
      <c r="K46" s="69">
        <f>C46</f>
        <v/>
      </c>
      <c r="L46" s="69">
        <f>$G$21</f>
        <v/>
      </c>
      <c r="M46" s="69">
        <f>$H$19</f>
        <v/>
      </c>
      <c r="N46" s="69">
        <f>J46</f>
        <v/>
      </c>
      <c r="O46" s="69">
        <f>L21</f>
        <v/>
      </c>
      <c r="P46" s="69">
        <f>O33</f>
        <v/>
      </c>
      <c r="Q46" s="69">
        <f>P33</f>
        <v/>
      </c>
      <c r="R46" s="13" t="n">
        <v>25600</v>
      </c>
      <c r="S46" s="69">
        <f>ROUND($R$26/$R$23,0.1)</f>
        <v/>
      </c>
      <c r="T46" s="56" t="n">
        <v>0</v>
      </c>
      <c r="V46" s="0">
        <f>DEC2HEX(G46)</f>
        <v/>
      </c>
    </row>
    <row r="47">
      <c r="B47" s="69" t="inlineStr">
        <is>
          <t>C5</t>
        </is>
      </c>
      <c r="C47" s="69">
        <f>"llre_" &amp; MID(C34, 6, 11)</f>
        <v/>
      </c>
      <c r="D47" s="69">
        <f>D34</f>
        <v/>
      </c>
      <c r="E47" s="69">
        <f>E34</f>
        <v/>
      </c>
      <c r="F47" s="69" t="n">
        <v>0</v>
      </c>
      <c r="G47" s="13" t="n">
        <v>23</v>
      </c>
      <c r="H47" s="69">
        <f>"llrl_" &amp; MID(C47, 6, 11)</f>
        <v/>
      </c>
      <c r="I47" s="69">
        <f>$D$13</f>
        <v/>
      </c>
      <c r="J47" s="69">
        <f>"rac_" &amp; MID(C47, 6, 7)</f>
        <v/>
      </c>
      <c r="K47" s="69">
        <f>C47</f>
        <v/>
      </c>
      <c r="L47" s="10">
        <f>L46</f>
        <v/>
      </c>
      <c r="M47" s="69">
        <f>$H$19</f>
        <v/>
      </c>
      <c r="N47" s="69">
        <f>J47</f>
        <v/>
      </c>
      <c r="O47" s="10">
        <f>O46+P46</f>
        <v/>
      </c>
      <c r="P47" s="69">
        <f>O34</f>
        <v/>
      </c>
      <c r="Q47" s="69">
        <f>P34</f>
        <v/>
      </c>
      <c r="R47" s="13" t="n">
        <v>25600</v>
      </c>
      <c r="S47" s="69">
        <f>ROUND($R$26/$R$23,0.1)</f>
        <v/>
      </c>
      <c r="T47" s="56" t="n">
        <v>0</v>
      </c>
      <c r="V47" s="0">
        <f>DEC2HEX(G47)</f>
        <v/>
      </c>
    </row>
    <row r="48">
      <c r="B48" s="69" t="inlineStr">
        <is>
          <t>C6</t>
        </is>
      </c>
      <c r="C48" s="69">
        <f>"llre_" &amp; MID(C35, 6, 11)</f>
        <v/>
      </c>
      <c r="D48" s="69">
        <f>D35</f>
        <v/>
      </c>
      <c r="E48" s="69">
        <f>E35</f>
        <v/>
      </c>
      <c r="F48" s="69" t="n">
        <v>0</v>
      </c>
      <c r="G48" s="13" t="n">
        <v>24</v>
      </c>
      <c r="H48" s="69">
        <f>"llrl_" &amp; MID(C48, 6, 11)</f>
        <v/>
      </c>
      <c r="I48" s="69">
        <f>$D$13</f>
        <v/>
      </c>
      <c r="J48" s="69">
        <f>"rac_" &amp; MID(C48, 6, 7)</f>
        <v/>
      </c>
      <c r="K48" s="69">
        <f>C48</f>
        <v/>
      </c>
      <c r="L48" s="69">
        <f>$G$22</f>
        <v/>
      </c>
      <c r="M48" s="69">
        <f>$H$19</f>
        <v/>
      </c>
      <c r="N48" s="69">
        <f>J48</f>
        <v/>
      </c>
      <c r="O48" s="69">
        <f>L22</f>
        <v/>
      </c>
      <c r="P48" s="69">
        <f>O35</f>
        <v/>
      </c>
      <c r="Q48" s="69">
        <f>P35</f>
        <v/>
      </c>
      <c r="R48" s="13" t="n">
        <v>25600</v>
      </c>
      <c r="S48" s="69">
        <f>ROUND($R$26/$R$23,0.1)</f>
        <v/>
      </c>
      <c r="T48" s="56" t="n">
        <v>0</v>
      </c>
      <c r="V48" s="0">
        <f>DEC2HEX(G48)</f>
        <v/>
      </c>
    </row>
    <row r="49">
      <c r="B49" s="69" t="inlineStr">
        <is>
          <t>C7</t>
        </is>
      </c>
      <c r="C49" s="69">
        <f>"llre_" &amp; MID(C36, 6, 11)</f>
        <v/>
      </c>
      <c r="D49" s="69">
        <f>D36</f>
        <v/>
      </c>
      <c r="E49" s="69">
        <f>E36</f>
        <v/>
      </c>
      <c r="F49" s="69" t="n">
        <v>0</v>
      </c>
      <c r="G49" s="13" t="n">
        <v>25</v>
      </c>
      <c r="H49" s="69">
        <f>"llrl_" &amp; MID(C49, 6, 11)</f>
        <v/>
      </c>
      <c r="I49" s="69">
        <f>$D$13</f>
        <v/>
      </c>
      <c r="J49" s="69">
        <f>"rac_" &amp; MID(C49, 6, 7)</f>
        <v/>
      </c>
      <c r="K49" s="69">
        <f>C49</f>
        <v/>
      </c>
      <c r="L49" s="10">
        <f>L48</f>
        <v/>
      </c>
      <c r="M49" s="69">
        <f>$H$19</f>
        <v/>
      </c>
      <c r="N49" s="69">
        <f>J49</f>
        <v/>
      </c>
      <c r="O49" s="10">
        <f>O48+P48</f>
        <v/>
      </c>
      <c r="P49" s="69">
        <f>O36</f>
        <v/>
      </c>
      <c r="Q49" s="69">
        <f>P36</f>
        <v/>
      </c>
      <c r="R49" s="13" t="n">
        <v>25600</v>
      </c>
      <c r="S49" s="69">
        <f>ROUND($R$26/$R$23,0.1)</f>
        <v/>
      </c>
      <c r="T49" s="56" t="n">
        <v>0</v>
      </c>
      <c r="V49" s="0">
        <f>DEC2HEX(G49)</f>
        <v/>
      </c>
    </row>
    <row r="50">
      <c r="B50" s="10" t="n"/>
      <c r="C50" s="10" t="inlineStr">
        <is>
          <t>고정</t>
        </is>
      </c>
      <c r="H50" s="10" t="inlineStr">
        <is>
          <t>가능하나 고정</t>
        </is>
      </c>
      <c r="I50" s="10" t="inlineStr">
        <is>
          <t>가능하나 고정</t>
        </is>
      </c>
      <c r="J50" s="10" t="inlineStr">
        <is>
          <t>가능하나 고정</t>
        </is>
      </c>
      <c r="K50" s="10">
        <f>C50</f>
        <v/>
      </c>
      <c r="N50" s="10" t="inlineStr">
        <is>
          <t>가능하나 고정</t>
        </is>
      </c>
    </row>
    <row r="51">
      <c r="B51" s="0" t="inlineStr">
        <is>
          <t>5. PRACH</t>
        </is>
      </c>
    </row>
    <row r="52"/>
    <row r="53">
      <c r="B53" s="69" t="n"/>
      <c r="C53" s="22" t="inlineStr">
        <is>
          <t>end-point</t>
        </is>
      </c>
      <c r="D53" s="22" t="n"/>
      <c r="E53" s="22" t="n"/>
      <c r="F53" s="22" t="n"/>
      <c r="G53" s="22" t="n"/>
      <c r="H53" s="22" t="inlineStr">
        <is>
          <t>link</t>
        </is>
      </c>
      <c r="I53" s="22" t="n"/>
      <c r="J53" s="22" t="n"/>
      <c r="K53" s="22" t="n"/>
      <c r="L53" s="22" t="n"/>
      <c r="M53" s="22" t="n"/>
    </row>
    <row r="54">
      <c r="B54" s="80" t="n"/>
      <c r="C54" s="12" t="inlineStr">
        <is>
          <t>name</t>
        </is>
      </c>
      <c r="D54" s="12" t="inlineStr">
        <is>
          <t>scs</t>
        </is>
      </c>
      <c r="E54" s="12" t="inlineStr">
        <is>
          <t>number-of-prb</t>
        </is>
      </c>
      <c r="F54" s="12" t="inlineStr">
        <is>
          <t>ul-fft-sampling-offset</t>
        </is>
      </c>
      <c r="G54" s="12" t="inlineStr">
        <is>
          <t>eaxc-id</t>
        </is>
      </c>
      <c r="H54" s="12" t="inlineStr">
        <is>
          <t>name</t>
        </is>
      </c>
      <c r="I54" s="12" t="inlineStr">
        <is>
          <t>processing-element</t>
        </is>
      </c>
      <c r="J54" s="12" t="inlineStr">
        <is>
          <t>rx-array-carrier</t>
        </is>
      </c>
      <c r="K54" s="12" t="inlineStr">
        <is>
          <t>low-level-rx-endpoint</t>
        </is>
      </c>
      <c r="L54" s="12" t="inlineStr">
        <is>
          <t>iq-bitwidth</t>
        </is>
      </c>
      <c r="M54" s="12" t="inlineStr">
        <is>
          <t>compression</t>
        </is>
      </c>
    </row>
    <row r="55">
      <c r="B55" s="69" t="inlineStr">
        <is>
          <t>C0</t>
        </is>
      </c>
      <c r="C55" s="69">
        <f>"llre_" &amp; MID(C29, 6, 8)&amp;"1_0"</f>
        <v/>
      </c>
      <c r="D55" s="69">
        <f>D42</f>
        <v/>
      </c>
      <c r="E55" s="69">
        <f>E42</f>
        <v/>
      </c>
      <c r="F55" s="69" t="n">
        <v>0</v>
      </c>
      <c r="G55" s="13" t="n">
        <v>34</v>
      </c>
      <c r="H55" s="69">
        <f>"llrl_" &amp; MID(C55, 6, 11)</f>
        <v/>
      </c>
      <c r="I55" s="69">
        <f>$D$13</f>
        <v/>
      </c>
      <c r="J55" s="69">
        <f>"rac_" &amp; MID(C55, 6, 7)</f>
        <v/>
      </c>
      <c r="K55" s="69">
        <f>C55</f>
        <v/>
      </c>
      <c r="L55" s="69">
        <f>$G$19</f>
        <v/>
      </c>
      <c r="M55" s="69">
        <f>$H$19</f>
        <v/>
      </c>
      <c r="O55" s="10">
        <f>DEC2HEX(G55)</f>
        <v/>
      </c>
    </row>
    <row r="56">
      <c r="B56" s="69" t="inlineStr">
        <is>
          <t>C1</t>
        </is>
      </c>
      <c r="C56" s="69">
        <f>"llre_" &amp; MID(C30, 6, 8)&amp;"1_0"</f>
        <v/>
      </c>
      <c r="D56" s="69">
        <f>D43</f>
        <v/>
      </c>
      <c r="E56" s="69">
        <f>E43</f>
        <v/>
      </c>
      <c r="F56" s="69" t="n">
        <v>0</v>
      </c>
      <c r="G56" s="13" t="n">
        <v>35</v>
      </c>
      <c r="H56" s="69">
        <f>"llrl_" &amp; MID(C56, 6, 11)</f>
        <v/>
      </c>
      <c r="I56" s="69">
        <f>$D$13</f>
        <v/>
      </c>
      <c r="J56" s="69">
        <f>"rac_" &amp; MID(C56, 6, 7)</f>
        <v/>
      </c>
      <c r="K56" s="69">
        <f>C56</f>
        <v/>
      </c>
      <c r="L56" s="69">
        <f>L55</f>
        <v/>
      </c>
      <c r="M56" s="69">
        <f>$H$19</f>
        <v/>
      </c>
      <c r="O56" s="10">
        <f>DEC2HEX(G56)</f>
        <v/>
      </c>
    </row>
    <row r="57">
      <c r="B57" s="69" t="inlineStr">
        <is>
          <t>C2</t>
        </is>
      </c>
      <c r="C57" s="69">
        <f>"llre_" &amp; MID(C31, 6, 8)&amp;"1_0"</f>
        <v/>
      </c>
      <c r="D57" s="69">
        <f>D44</f>
        <v/>
      </c>
      <c r="E57" s="69">
        <f>E44</f>
        <v/>
      </c>
      <c r="F57" s="69" t="n">
        <v>0</v>
      </c>
      <c r="G57" s="13" t="n">
        <v>36</v>
      </c>
      <c r="H57" s="69">
        <f>"llrl_" &amp; MID(C57, 6, 11)</f>
        <v/>
      </c>
      <c r="I57" s="69">
        <f>$D$13</f>
        <v/>
      </c>
      <c r="J57" s="69">
        <f>"rac_" &amp; MID(C57, 6, 7)</f>
        <v/>
      </c>
      <c r="K57" s="69">
        <f>C57</f>
        <v/>
      </c>
      <c r="L57" s="69">
        <f>$G$20</f>
        <v/>
      </c>
      <c r="M57" s="69">
        <f>$H$19</f>
        <v/>
      </c>
      <c r="O57" s="10">
        <f>DEC2HEX(G57)</f>
        <v/>
      </c>
    </row>
    <row r="58">
      <c r="B58" s="69" t="inlineStr">
        <is>
          <t>C3</t>
        </is>
      </c>
      <c r="C58" s="69">
        <f>"llre_" &amp; MID(C32, 6, 8)&amp;"1_0"</f>
        <v/>
      </c>
      <c r="D58" s="69">
        <f>D45</f>
        <v/>
      </c>
      <c r="E58" s="69">
        <f>E45</f>
        <v/>
      </c>
      <c r="F58" s="69" t="n">
        <v>0</v>
      </c>
      <c r="G58" s="13" t="n">
        <v>37</v>
      </c>
      <c r="H58" s="69">
        <f>"llrl_" &amp; MID(C58, 6, 11)</f>
        <v/>
      </c>
      <c r="I58" s="69">
        <f>$D$13</f>
        <v/>
      </c>
      <c r="J58" s="69">
        <f>"rac_" &amp; MID(C58, 6, 7)</f>
        <v/>
      </c>
      <c r="K58" s="69">
        <f>C58</f>
        <v/>
      </c>
      <c r="L58" s="69">
        <f>L57</f>
        <v/>
      </c>
      <c r="M58" s="69">
        <f>$H$19</f>
        <v/>
      </c>
      <c r="O58" s="10">
        <f>DEC2HEX(G58)</f>
        <v/>
      </c>
    </row>
    <row r="59">
      <c r="B59" s="69" t="inlineStr">
        <is>
          <t>C4</t>
        </is>
      </c>
      <c r="C59" s="69">
        <f>"llre_" &amp; MID(C33, 6, 8)&amp;"1_0"</f>
        <v/>
      </c>
      <c r="D59" s="69">
        <f>D46</f>
        <v/>
      </c>
      <c r="E59" s="69">
        <f>E46</f>
        <v/>
      </c>
      <c r="F59" s="69" t="n">
        <v>0</v>
      </c>
      <c r="G59" s="13" t="n">
        <v>38</v>
      </c>
      <c r="H59" s="69">
        <f>"llrl_" &amp; MID(C59, 6, 11)</f>
        <v/>
      </c>
      <c r="I59" s="69">
        <f>$D$13</f>
        <v/>
      </c>
      <c r="J59" s="69">
        <f>"rac_" &amp; MID(C59, 6, 7)</f>
        <v/>
      </c>
      <c r="K59" s="69">
        <f>C59</f>
        <v/>
      </c>
      <c r="L59" s="69">
        <f>$G$21</f>
        <v/>
      </c>
      <c r="M59" s="69">
        <f>$H$19</f>
        <v/>
      </c>
      <c r="O59" s="10">
        <f>DEC2HEX(G59)</f>
        <v/>
      </c>
    </row>
    <row r="60">
      <c r="B60" s="69" t="inlineStr">
        <is>
          <t>C5</t>
        </is>
      </c>
      <c r="C60" s="69">
        <f>"llre_" &amp; MID(C34, 6, 8)&amp;"1_0"</f>
        <v/>
      </c>
      <c r="D60" s="69">
        <f>D47</f>
        <v/>
      </c>
      <c r="E60" s="69">
        <f>E47</f>
        <v/>
      </c>
      <c r="F60" s="69" t="n">
        <v>0</v>
      </c>
      <c r="G60" s="13" t="n">
        <v>39</v>
      </c>
      <c r="H60" s="69">
        <f>"llrl_" &amp; MID(C60, 6, 11)</f>
        <v/>
      </c>
      <c r="I60" s="69">
        <f>$D$13</f>
        <v/>
      </c>
      <c r="J60" s="69">
        <f>"rac_" &amp; MID(C60, 6, 7)</f>
        <v/>
      </c>
      <c r="K60" s="69">
        <f>C60</f>
        <v/>
      </c>
      <c r="L60" s="69">
        <f>L59</f>
        <v/>
      </c>
      <c r="M60" s="69">
        <f>$H$19</f>
        <v/>
      </c>
      <c r="O60" s="10">
        <f>DEC2HEX(G60)</f>
        <v/>
      </c>
    </row>
    <row r="61">
      <c r="B61" s="69" t="inlineStr">
        <is>
          <t>C6</t>
        </is>
      </c>
      <c r="C61" s="69">
        <f>"llre_" &amp; MID(C35, 6, 8)&amp;"1_0"</f>
        <v/>
      </c>
      <c r="D61" s="69">
        <f>D48</f>
        <v/>
      </c>
      <c r="E61" s="69">
        <f>E48</f>
        <v/>
      </c>
      <c r="F61" s="69" t="n">
        <v>0</v>
      </c>
      <c r="G61" s="13" t="n">
        <v>40</v>
      </c>
      <c r="H61" s="69">
        <f>"llrl_" &amp; MID(C61, 6, 11)</f>
        <v/>
      </c>
      <c r="I61" s="69">
        <f>$D$13</f>
        <v/>
      </c>
      <c r="J61" s="69">
        <f>"rac_" &amp; MID(C61, 6, 7)</f>
        <v/>
      </c>
      <c r="K61" s="69">
        <f>C61</f>
        <v/>
      </c>
      <c r="L61" s="69">
        <f>$G$22</f>
        <v/>
      </c>
      <c r="M61" s="69">
        <f>$H$19</f>
        <v/>
      </c>
      <c r="O61" s="10">
        <f>DEC2HEX(G61)</f>
        <v/>
      </c>
    </row>
    <row r="62">
      <c r="B62" s="69" t="inlineStr">
        <is>
          <t>C7</t>
        </is>
      </c>
      <c r="C62" s="69">
        <f>"llre_" &amp; MID(C36, 6, 8)&amp;"1_0"</f>
        <v/>
      </c>
      <c r="D62" s="69">
        <f>D49</f>
        <v/>
      </c>
      <c r="E62" s="69">
        <f>E49</f>
        <v/>
      </c>
      <c r="F62" s="69" t="n">
        <v>0</v>
      </c>
      <c r="G62" s="13" t="n">
        <v>41</v>
      </c>
      <c r="H62" s="69">
        <f>"llrl_" &amp; MID(C62, 6, 11)</f>
        <v/>
      </c>
      <c r="I62" s="69">
        <f>$D$13</f>
        <v/>
      </c>
      <c r="J62" s="69">
        <f>"rac_" &amp; MID(C62, 6, 7)</f>
        <v/>
      </c>
      <c r="K62" s="69">
        <f>C62</f>
        <v/>
      </c>
      <c r="L62" s="69">
        <f>L61</f>
        <v/>
      </c>
      <c r="M62" s="69">
        <f>$H$19</f>
        <v/>
      </c>
      <c r="O62" s="10">
        <f>DEC2HEX(G62)</f>
        <v/>
      </c>
    </row>
    <row r="63">
      <c r="B63" s="10" t="n"/>
      <c r="C63" s="10" t="inlineStr">
        <is>
          <t>고정</t>
        </is>
      </c>
      <c r="H63" s="10" t="inlineStr">
        <is>
          <t>가능하나 고정</t>
        </is>
      </c>
      <c r="I63" s="10" t="inlineStr">
        <is>
          <t>가능하나 고정</t>
        </is>
      </c>
      <c r="J63" s="10" t="inlineStr">
        <is>
          <t>가능하나 고정</t>
        </is>
      </c>
      <c r="K63" s="10">
        <f>C63</f>
        <v/>
      </c>
      <c r="O63" s="10" t="inlineStr">
        <is>
          <t>가능하나 고정</t>
        </is>
      </c>
    </row>
  </sheetData>
  <mergeCells count="7">
    <mergeCell ref="B27:B28"/>
    <mergeCell ref="O3:P3"/>
    <mergeCell ref="B53:B54"/>
    <mergeCell ref="N19:N22"/>
    <mergeCell ref="B40:B41"/>
    <mergeCell ref="H19:H22"/>
    <mergeCell ref="G4:K4"/>
  </mergeCells>
  <conditionalFormatting sqref="B19:B22">
    <cfRule type="cellIs" priority="1" operator="equal" dxfId="0">
      <formula>"ON"</formula>
    </cfRule>
  </conditionalFormatting>
  <dataValidations count="2">
    <dataValidation sqref="B19:B22" showDropDown="0" showInputMessage="1" showErrorMessage="1" allowBlank="1" type="list">
      <formula1>"ON, OFF"</formula1>
    </dataValidation>
    <dataValidation sqref="H19:H22" showDropDown="0" showInputMessage="1" showErrorMessage="1" allowBlank="1" type="list">
      <formula1>"exponent, BFP, no comp"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76" min="1" max="1"/>
  </cols>
  <sheetData>
    <row r="1">
      <c r="A1" s="0" t="inlineStr">
        <is>
          <t xml:space="preserve"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76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265" workbookViewId="0">
      <selection activeCell="A142" sqref="A142"/>
    </sheetView>
  </sheetViews>
  <sheetFormatPr baseColWidth="8" defaultRowHeight="13.5"/>
  <cols>
    <col width="82.28515625" bestFit="1" customWidth="1" style="76" min="1" max="1"/>
    <col width="79" bestFit="1" customWidth="1" style="76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_xlfn.IFS('Control-Sheet'!B19="OFF",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&lt;name&gt;"&amp;'Control-Sheet'!$C29&amp;"&lt;/name&gt;"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_xlfn.IFS('Control-Sheet'!M29="exponent", 'Control-Sheet'!$G$5, 'Control-Sheet'!M29="BFP", 'Control-Sheet'!$G$6, TRUE, "")</f>
        <v/>
      </c>
    </row>
    <row r="17">
      <c r="A17" s="7">
        <f>"          &lt;iq-bitwidth&gt;"&amp;'Control-Sheet'!L29&amp;"&lt;/iq-bitwidth&gt;"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&lt;scs&gt;"&amp;'Control-Sheet'!$D29&amp;"&lt;/scs&gt;"</f>
        <v/>
      </c>
      <c r="G25" s="20" t="n"/>
    </row>
    <row r="26">
      <c r="A26" s="8">
        <f>"            &lt;number-of-prb&gt;"&amp;'Control-Sheet'!$E29&amp;"&lt;/number-of-prb&gt;"</f>
        <v/>
      </c>
    </row>
    <row r="27">
      <c r="A27" s="6" t="inlineStr">
        <is>
          <t xml:space="preserve">          &lt;/number-of-prb-per-scs&gt;</t>
        </is>
      </c>
      <c r="E27" s="62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&lt;eaxc-id&gt;"&amp;'Control-Sheet'!$F29&amp;"&lt;/eaxc-id&gt;"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&lt;name&gt;"&amp;'Control-Sheet'!$K29&amp;"&lt;/name&gt;"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&lt;center-of-channel-bandwidth&gt;"&amp;'Control-Sheet'!$N29*10^6&amp;"&lt;/center-of-channel-bandwidth&gt;"</f>
        <v/>
      </c>
    </row>
    <row r="40">
      <c r="A40" s="16">
        <f>"          &lt;channel-bandwidth&gt;"&amp;'Control-Sheet'!$O29*10^6&amp;"&lt;/channel-bandwidth&gt;"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&lt;type&gt;"&amp;'Control-Sheet'!$P29&amp;"&lt;/type&gt;"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&lt;gain&gt;"&amp;'Control-Sheet'!$Q29&amp;"&lt;/gain&gt;"</f>
        <v/>
      </c>
    </row>
    <row r="46">
      <c r="A46" s="16">
        <f>"          &lt;t-da-offset&gt;"&amp;'Control-Sheet'!R29&amp;"&lt;/t-da-offset&gt;"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&lt;name&gt;"&amp;'Control-Sheet'!$G29&amp;"&lt;/name&gt;"</f>
        <v/>
      </c>
    </row>
    <row r="50">
      <c r="A50" s="18">
        <f>"          &lt;processing-element&gt;"&amp;'Control-Sheet'!$H29&amp;"&lt;/processing-element&gt;"</f>
        <v/>
      </c>
    </row>
    <row r="51">
      <c r="A51" s="18">
        <f>"          &lt;tx-array-carrier&gt;"&amp;'Control-Sheet'!$I29&amp;"&lt;/tx-array-carrier&gt;"</f>
        <v/>
      </c>
    </row>
    <row r="52">
      <c r="A52" s="18">
        <f>"          &lt;low-level-tx-endpoint&gt;"&amp;'Control-Sheet'!$J29&amp;"&lt;/low-level-tx-endpoint&gt;"</f>
        <v/>
      </c>
    </row>
    <row r="53">
      <c r="A53" s="14" t="inlineStr">
        <is>
          <t xml:space="preserve">        &lt;/low-level-tx-links&gt;</t>
        </is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&lt;name&gt;"&amp;'Control-Sheet'!$C30&amp;"&lt;/name&gt;"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_xlfn.IFS('Control-Sheet'!M30="exponent", 'Control-Sheet'!$G$5, 'Control-Sheet'!M30="BFP", 'Control-Sheet'!$G$6, TRUE, "")</f>
        <v/>
      </c>
    </row>
    <row r="61">
      <c r="A61" s="7">
        <f>"          &lt;iq-bitwidth&gt;"&amp;'Control-Sheet'!L30&amp;"&lt;/iq-bitwidth&gt;"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&lt;scs&gt;"&amp;'Control-Sheet'!$D30&amp;"&lt;/scs&gt;"</f>
        <v/>
      </c>
    </row>
    <row r="70">
      <c r="A70" s="8">
        <f>"            &lt;number-of-prb&gt;"&amp;'Control-Sheet'!$E30&amp;"&lt;/number-of-prb&gt;"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&lt;eaxc-id&gt;"&amp;'Control-Sheet'!$F30&amp;"&lt;/eaxc-id&gt;"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&lt;name&gt;"&amp;'Control-Sheet'!$K30&amp;"&lt;/name&gt;"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&lt;center-of-channel-bandwidth&gt;"&amp;'Control-Sheet'!$N30*10^6&amp;"&lt;/center-of-channel-bandwidth&gt;"</f>
        <v/>
      </c>
    </row>
    <row r="84">
      <c r="A84" s="16">
        <f>"          &lt;channel-bandwidth&gt;"&amp;'Control-Sheet'!$O30*10^6&amp;"&lt;/channel-bandwidth&gt;"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&lt;type&gt;"&amp;'Control-Sheet'!$P30&amp;"&lt;/type&gt;"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&lt;gain&gt;"&amp;'Control-Sheet'!$Q30&amp;"&lt;/gain&gt;"</f>
        <v/>
      </c>
    </row>
    <row r="90">
      <c r="A90" s="16">
        <f>"          &lt;t-da-offset&gt;"&amp;'Control-Sheet'!R30&amp;"&lt;/t-da-offset&gt;"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&lt;name&gt;"&amp;'Control-Sheet'!$G30&amp;"&lt;/name&gt;"</f>
        <v/>
      </c>
    </row>
    <row r="94">
      <c r="A94" s="18">
        <f>"          &lt;processing-element&gt;"&amp;'Control-Sheet'!$H30&amp;"&lt;/processing-element&gt;"</f>
        <v/>
      </c>
    </row>
    <row r="95">
      <c r="A95" s="18">
        <f>"          &lt;tx-array-carrier&gt;"&amp;'Control-Sheet'!$I30&amp;"&lt;/tx-array-carrier&gt;"</f>
        <v/>
      </c>
    </row>
    <row r="96">
      <c r="A96" s="18">
        <f>"          &lt;low-level-tx-endpoint&gt;"&amp;'Control-Sheet'!$J30&amp;"&lt;/low-level-tx-endpoint&gt;"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 s="0">
        <f>_xlfn.IFS('Control-Sheet'!B19="OFF", 'Control-Sheet'!$K$6, TRUE, "")</f>
        <v/>
      </c>
    </row>
    <row r="99">
      <c r="A99" s="0">
        <f>_xlfn.IFS('Control-Sheet'!B20="OFF",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&lt;name&gt;"&amp;'Control-Sheet'!$C31&amp;"&lt;/name&gt;"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_xlfn.IFS('Control-Sheet'!M31="EXPONENT", 'Control-Sheet'!$G$5, 'Control-Sheet'!M31="BFP", 'Control-Sheet'!$G$6, TRUE, "")</f>
        <v/>
      </c>
    </row>
    <row r="105">
      <c r="A105" s="7">
        <f>"          &lt;iq-bitwidth&gt;"&amp;'Control-Sheet'!L31&amp;"&lt;/iq-bitwidth&gt;"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&lt;scs&gt;"&amp;'Control-Sheet'!$D31&amp;"&lt;/scs&gt;"</f>
        <v/>
      </c>
    </row>
    <row r="114">
      <c r="A114" s="8">
        <f>"            &lt;number-of-prb&gt;"&amp;'Control-Sheet'!$E31&amp;"&lt;/number-of-prb&gt;"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&lt;eaxc-id&gt;"&amp;'Control-Sheet'!$F31&amp;"&lt;/eaxc-id&gt;"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&lt;name&gt;"&amp;'Control-Sheet'!$K31&amp;"&lt;/name&gt;"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&lt;center-of-channel-bandwidth&gt;"&amp;'Control-Sheet'!$N31*10^6&amp;"&lt;/center-of-channel-bandwidth&gt;"</f>
        <v/>
      </c>
    </row>
    <row r="128">
      <c r="A128" s="16">
        <f>"          &lt;channel-bandwidth&gt;"&amp;'Control-Sheet'!$O31*10^6&amp;"&lt;/channel-bandwidth&gt;"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&lt;type&gt;"&amp;'Control-Sheet'!$P31&amp;"&lt;/type&gt;"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&lt;gain&gt;"&amp;'Control-Sheet'!$Q31&amp;"&lt;/gain&gt;"</f>
        <v/>
      </c>
    </row>
    <row r="134">
      <c r="A134" s="16">
        <f>"          &lt;t-da-offset&gt;"&amp;'Control-Sheet'!R31&amp;"&lt;/t-da-offset&gt;"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&lt;name&gt;"&amp;'Control-Sheet'!$G31&amp;"&lt;/name&gt;"</f>
        <v/>
      </c>
    </row>
    <row r="138">
      <c r="A138" s="18">
        <f>"          &lt;processing-element&gt;"&amp;'Control-Sheet'!$H31&amp;"&lt;/processing-element&gt;"</f>
        <v/>
      </c>
    </row>
    <row r="139">
      <c r="A139" s="18">
        <f>"          &lt;tx-array-carrier&gt;"&amp;'Control-Sheet'!$I31&amp;"&lt;/tx-array-carrier&gt;"</f>
        <v/>
      </c>
    </row>
    <row r="140">
      <c r="A140" s="18">
        <f>"          &lt;low-level-tx-endpoint&gt;"&amp;'Control-Sheet'!$J31&amp;"&lt;/low-level-tx-endpoint&gt;"</f>
        <v/>
      </c>
    </row>
    <row r="141">
      <c r="A141" s="14" t="inlineStr">
        <is>
          <t xml:space="preserve">        &lt;/low-level-tx-links&gt;</t>
        </is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&lt;name&gt;"&amp;'Control-Sheet'!$C32&amp;"&lt;/name&gt;"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_xlfn.IFS('Control-Sheet'!M32="exponent", 'Control-Sheet'!$G$5, 'Control-Sheet'!M32="BFP", 'Control-Sheet'!$G$6, TRUE, "")</f>
        <v/>
      </c>
    </row>
    <row r="149">
      <c r="A149" s="7">
        <f>"          &lt;iq-bitwidth&gt;"&amp;'Control-Sheet'!L32&amp;"&lt;/iq-bitwidth&gt;"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&lt;scs&gt;"&amp;'Control-Sheet'!$D32&amp;"&lt;/scs&gt;"</f>
        <v/>
      </c>
    </row>
    <row r="158">
      <c r="A158" s="8">
        <f>"            &lt;number-of-prb&gt;"&amp;'Control-Sheet'!$E32&amp;"&lt;/number-of-prb&gt;"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&lt;eaxc-id&gt;"&amp;'Control-Sheet'!$F32&amp;"&lt;/eaxc-id&gt;"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&lt;name&gt;"&amp;'Control-Sheet'!$K32&amp;"&lt;/name&gt;"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&lt;center-of-channel-bandwidth&gt;"&amp;'Control-Sheet'!$N32*10^6&amp;"&lt;/center-of-channel-bandwidth&gt;"</f>
        <v/>
      </c>
    </row>
    <row r="172">
      <c r="A172" s="16">
        <f>"          &lt;channel-bandwidth&gt;"&amp;'Control-Sheet'!$O32*10^6&amp;"&lt;/channel-bandwidth&gt;"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&lt;type&gt;"&amp;'Control-Sheet'!$P32&amp;"&lt;/type&gt;"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&lt;gain&gt;"&amp;'Control-Sheet'!$Q32&amp;"&lt;/gain&gt;"</f>
        <v/>
      </c>
    </row>
    <row r="178">
      <c r="A178" s="16">
        <f>"          &lt;t-da-offset&gt;"&amp;'Control-Sheet'!R31&amp;"&lt;/t-da-offset&gt;"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&lt;name&gt;"&amp;'Control-Sheet'!$G32&amp;"&lt;/name&gt;"</f>
        <v/>
      </c>
    </row>
    <row r="182">
      <c r="A182" s="18">
        <f>"          &lt;processing-element&gt;"&amp;'Control-Sheet'!$H32&amp;"&lt;/processing-element&gt;"</f>
        <v/>
      </c>
    </row>
    <row r="183">
      <c r="A183" s="18">
        <f>"          &lt;tx-array-carrier&gt;"&amp;'Control-Sheet'!$I32&amp;"&lt;/tx-array-carrier&gt;"</f>
        <v/>
      </c>
    </row>
    <row r="184">
      <c r="A184" s="18">
        <f>"          &lt;low-level-tx-endpoint&gt;"&amp;'Control-Sheet'!$J32&amp;"&lt;/low-level-tx-endpoint&gt;"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 s="0">
        <f>_xlfn.IFS('Control-Sheet'!B20="OFF", 'Control-Sheet'!$K$6, TRUE, "")</f>
        <v/>
      </c>
    </row>
    <row r="187">
      <c r="A187" s="0">
        <f>_xlfn.IFS('Control-Sheet'!B21="OFF",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&lt;name&gt;"&amp;'Control-Sheet'!$C33&amp;"&lt;/name&gt;"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_xlfn.IFS('Control-Sheet'!M33="exponent", 'Control-Sheet'!$G$5, 'Control-Sheet'!M33="BFP", 'Control-Sheet'!$G$6, TRUE, "")</f>
        <v/>
      </c>
    </row>
    <row r="193">
      <c r="A193" s="7">
        <f>"          &lt;iq-bitwidth&gt;"&amp;'Control-Sheet'!L33&amp;"&lt;/iq-bitwidth&gt;"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&lt;scs&gt;"&amp;'Control-Sheet'!$D33&amp;"&lt;/scs&gt;"</f>
        <v/>
      </c>
    </row>
    <row r="202">
      <c r="A202" s="8">
        <f>"            &lt;number-of-prb&gt;"&amp;'Control-Sheet'!$E33&amp;"&lt;/number-of-prb&gt;"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&lt;eaxc-id&gt;"&amp;'Control-Sheet'!$F33&amp;"&lt;/eaxc-id&gt;"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&lt;name&gt;"&amp;'Control-Sheet'!$K33&amp;"&lt;/name&gt;"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&lt;center-of-channel-bandwidth&gt;"&amp;'Control-Sheet'!$N33*10^6&amp;"&lt;/center-of-channel-bandwidth&gt;"</f>
        <v/>
      </c>
    </row>
    <row r="216">
      <c r="A216" s="16">
        <f>"          &lt;channel-bandwidth&gt;"&amp;'Control-Sheet'!$O33*10^6&amp;"&lt;/channel-bandwidth&gt;"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&lt;type&gt;"&amp;'Control-Sheet'!$P33&amp;"&lt;/type&gt;"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&lt;gain&gt;"&amp;'Control-Sheet'!$Q33&amp;"&lt;/gain&gt;"</f>
        <v/>
      </c>
    </row>
    <row r="222">
      <c r="A222" s="16">
        <f>"          &lt;t-da-offset&gt;"&amp;'Control-Sheet'!R33&amp;"&lt;/t-da-offset&gt;"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&lt;name&gt;"&amp;'Control-Sheet'!$G33&amp;"&lt;/name&gt;"</f>
        <v/>
      </c>
    </row>
    <row r="226">
      <c r="A226" s="18">
        <f>"          &lt;processing-element&gt;"&amp;'Control-Sheet'!$H33&amp;"&lt;/processing-element&gt;"</f>
        <v/>
      </c>
    </row>
    <row r="227">
      <c r="A227" s="18">
        <f>"          &lt;tx-array-carrier&gt;"&amp;'Control-Sheet'!$I33&amp;"&lt;/tx-array-carrier&gt;"</f>
        <v/>
      </c>
    </row>
    <row r="228">
      <c r="A228" s="18">
        <f>"          &lt;low-level-tx-endpoint&gt;"&amp;'Control-Sheet'!$J33&amp;"&lt;/low-level-tx-endpoint&gt;"</f>
        <v/>
      </c>
    </row>
    <row r="229">
      <c r="A229" s="14" t="inlineStr">
        <is>
          <t xml:space="preserve">        &lt;/low-level-tx-links&gt;</t>
        </is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&lt;name&gt;"&amp;'Control-Sheet'!$C34&amp;"&lt;/name&gt;"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_xlfn.IFS('Control-Sheet'!M34="exponent", 'Control-Sheet'!$G$5, 'Control-Sheet'!M34="BFP", 'Control-Sheet'!$G$6, TRUE, "")</f>
        <v/>
      </c>
    </row>
    <row r="237">
      <c r="A237" s="7">
        <f>"          &lt;iq-bitwidth&gt;"&amp;'Control-Sheet'!L34&amp;"&lt;/iq-bitwidth&gt;"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&lt;scs&gt;"&amp;'Control-Sheet'!$D34&amp;"&lt;/scs&gt;"</f>
        <v/>
      </c>
    </row>
    <row r="246">
      <c r="A246" s="8">
        <f>"            &lt;number-of-prb&gt;"&amp;'Control-Sheet'!$E34&amp;"&lt;/number-of-prb&gt;"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&lt;eaxc-id&gt;"&amp;'Control-Sheet'!$F34&amp;"&lt;/eaxc-id&gt;"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&lt;name&gt;"&amp;'Control-Sheet'!$K34&amp;"&lt;/name&gt;"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&lt;center-of-channel-bandwidth&gt;"&amp;'Control-Sheet'!$N34*10^6&amp;"&lt;/center-of-channel-bandwidth&gt;"</f>
        <v/>
      </c>
    </row>
    <row r="260">
      <c r="A260" s="16">
        <f>"          &lt;channel-bandwidth&gt;"&amp;'Control-Sheet'!$O34*10^6&amp;"&lt;/channel-bandwidth&gt;"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&lt;type&gt;"&amp;'Control-Sheet'!$P34&amp;"&lt;/type&gt;"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&lt;gain&gt;"&amp;'Control-Sheet'!$Q34&amp;"&lt;/gain&gt;"</f>
        <v/>
      </c>
    </row>
    <row r="266">
      <c r="A266" s="16">
        <f>"          &lt;t-da-offset&gt;"&amp;'Control-Sheet'!R34&amp;"&lt;/t-da-offset&gt;"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&lt;name&gt;"&amp;'Control-Sheet'!$G34&amp;"&lt;/name&gt;"</f>
        <v/>
      </c>
    </row>
    <row r="270">
      <c r="A270" s="18">
        <f>"          &lt;processing-element&gt;"&amp;'Control-Sheet'!$H34&amp;"&lt;/processing-element&gt;"</f>
        <v/>
      </c>
    </row>
    <row r="271">
      <c r="A271" s="18">
        <f>"          &lt;tx-array-carrier&gt;"&amp;'Control-Sheet'!$I34&amp;"&lt;/tx-array-carrier&gt;"</f>
        <v/>
      </c>
    </row>
    <row r="272">
      <c r="A272" s="18">
        <f>"          &lt;low-level-tx-endpoint&gt;"&amp;'Control-Sheet'!$J34&amp;"&lt;/low-level-tx-endpoint&gt;"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 s="0">
        <f>_xlfn.IFS('Control-Sheet'!B21="OFF", 'Control-Sheet'!$K$6, TRUE, "")</f>
        <v/>
      </c>
    </row>
    <row r="275">
      <c r="A275" s="0">
        <f>_xlfn.IFS('Control-Sheet'!B22="OFF",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&lt;name&gt;"&amp;'Control-Sheet'!$C35&amp;"&lt;/name&gt;"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_xlfn.IFS('Control-Sheet'!M35="exponent", 'Control-Sheet'!$G$5, 'Control-Sheet'!M35="BFP", 'Control-Sheet'!$G$6, TRUE, "")</f>
        <v/>
      </c>
    </row>
    <row r="281">
      <c r="A281" s="7">
        <f>"          &lt;iq-bitwidth&gt;"&amp;'Control-Sheet'!L35&amp;"&lt;/iq-bitwidth&gt;"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&lt;scs&gt;"&amp;'Control-Sheet'!$D35&amp;"&lt;/scs&gt;"</f>
        <v/>
      </c>
    </row>
    <row r="290">
      <c r="A290" s="8">
        <f>"            &lt;number-of-prb&gt;"&amp;'Control-Sheet'!$E35&amp;"&lt;/number-of-prb&gt;"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&lt;eaxc-id&gt;"&amp;'Control-Sheet'!$F35&amp;"&lt;/eaxc-id&gt;"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&lt;name&gt;"&amp;'Control-Sheet'!$K35&amp;"&lt;/name&gt;"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&lt;center-of-channel-bandwidth&gt;"&amp;'Control-Sheet'!$N35*10^6&amp;"&lt;/center-of-channel-bandwidth&gt;"</f>
        <v/>
      </c>
    </row>
    <row r="304">
      <c r="A304" s="16">
        <f>"          &lt;channel-bandwidth&gt;"&amp;'Control-Sheet'!$O35*10^6&amp;"&lt;/channel-bandwidth&gt;"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&lt;type&gt;"&amp;'Control-Sheet'!$P35&amp;"&lt;/type&gt;"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&lt;gain&gt;"&amp;'Control-Sheet'!$Q35&amp;"&lt;/gain&gt;"</f>
        <v/>
      </c>
    </row>
    <row r="310">
      <c r="A310" s="16">
        <f>"          &lt;t-da-offset&gt;"&amp;'Control-Sheet'!R35&amp;"&lt;/t-da-offset&gt;"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&lt;name&gt;"&amp;'Control-Sheet'!$G35&amp;"&lt;/name&gt;"</f>
        <v/>
      </c>
    </row>
    <row r="314">
      <c r="A314" s="18">
        <f>"          &lt;processing-element&gt;"&amp;'Control-Sheet'!$H35&amp;"&lt;/processing-element&gt;"</f>
        <v/>
      </c>
    </row>
    <row r="315">
      <c r="A315" s="18">
        <f>"          &lt;tx-array-carrier&gt;"&amp;'Control-Sheet'!$I35&amp;"&lt;/tx-array-carrier&gt;"</f>
        <v/>
      </c>
    </row>
    <row r="316">
      <c r="A316" s="18">
        <f>"          &lt;low-level-tx-endpoint&gt;"&amp;'Control-Sheet'!$J35&amp;"&lt;/low-level-tx-endpoint&gt;"</f>
        <v/>
      </c>
    </row>
    <row r="317">
      <c r="A317" s="14" t="inlineStr">
        <is>
          <t xml:space="preserve">        &lt;/low-level-tx-links&gt;</t>
        </is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&lt;name&gt;"&amp;'Control-Sheet'!$C36&amp;"&lt;/name&gt;"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_xlfn.IFS('Control-Sheet'!M36="exponent", 'Control-Sheet'!$G$5, 'Control-Sheet'!M36="BFP", 'Control-Sheet'!$G$6, TRUE, "")</f>
        <v/>
      </c>
    </row>
    <row r="325">
      <c r="A325" s="7">
        <f>"          &lt;iq-bitwidth&gt;"&amp;'Control-Sheet'!L36&amp;"&lt;/iq-bitwidth&gt;"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&lt;scs&gt;"&amp;'Control-Sheet'!$D36&amp;"&lt;/scs&gt;"</f>
        <v/>
      </c>
    </row>
    <row r="334">
      <c r="A334" s="8">
        <f>"            &lt;number-of-prb&gt;"&amp;'Control-Sheet'!$E36&amp;"&lt;/number-of-prb&gt;"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&lt;eaxc-id&gt;"&amp;'Control-Sheet'!$F36&amp;"&lt;/eaxc-id&gt;"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&lt;name&gt;"&amp;'Control-Sheet'!$K36&amp;"&lt;/name&gt;"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&lt;center-of-channel-bandwidth&gt;"&amp;'Control-Sheet'!$N36*10^6&amp;"&lt;/center-of-channel-bandwidth&gt;"</f>
        <v/>
      </c>
    </row>
    <row r="348">
      <c r="A348" s="16">
        <f>"          &lt;channel-bandwidth&gt;"&amp;'Control-Sheet'!$O36*10^6&amp;"&lt;/channel-bandwidth&gt;"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&lt;type&gt;"&amp;'Control-Sheet'!$P36&amp;"&lt;/type&gt;"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&lt;gain&gt;"&amp;'Control-Sheet'!$Q36&amp;"&lt;/gain&gt;"</f>
        <v/>
      </c>
    </row>
    <row r="354">
      <c r="A354" s="16">
        <f>"          &lt;t-da-offset&gt;"&amp;'Control-Sheet'!R36&amp;"&lt;/t-da-offset&gt;"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&lt;name&gt;"&amp;'Control-Sheet'!$G36&amp;"&lt;/name&gt;"</f>
        <v/>
      </c>
    </row>
    <row r="358">
      <c r="A358" s="18">
        <f>"          &lt;processing-element&gt;"&amp;'Control-Sheet'!$H36&amp;"&lt;/processing-element&gt;"</f>
        <v/>
      </c>
    </row>
    <row r="359">
      <c r="A359" s="18">
        <f>"          &lt;tx-array-carrier&gt;"&amp;'Control-Sheet'!$I36&amp;"&lt;/tx-array-carrier&gt;"</f>
        <v/>
      </c>
    </row>
    <row r="360">
      <c r="A360" s="18">
        <f>"          &lt;low-level-tx-endpoint&gt;"&amp;'Control-Sheet'!$J36&amp;"&lt;/low-level-tx-endpoint&gt;"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 s="0">
        <f>_xlfn.IFS('Control-Sheet'!B22="OFF", 'Control-Sheet'!$K$6, TRUE, "")</f>
        <v/>
      </c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157" zoomScale="70" zoomScaleNormal="70" workbookViewId="0">
      <selection activeCell="A11" sqref="A11"/>
    </sheetView>
  </sheetViews>
  <sheetFormatPr baseColWidth="8" defaultRowHeight="13.5"/>
  <cols>
    <col width="79" bestFit="1" customWidth="1" style="19" min="1" max="1"/>
    <col width="82.7109375" bestFit="1" customWidth="1" style="76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_xlfn.IFS('Control-Sheet'!B19="OFF",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&lt;name&gt;"&amp;'Control-Sheet'!$C42&amp;"&lt;/name&gt;"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_xlfn.IFS('Control-Sheet'!M42="exponent", 'Control-Sheet'!$G$5, 'Control-Sheet'!M42="BFP", 'Control-Sheet'!$G$6, TRUE, "")</f>
        <v/>
      </c>
    </row>
    <row r="17">
      <c r="A17" s="7">
        <f>"          &lt;iq-bitwidth&gt;"&amp;'Control-Sheet'!L42&amp;"&lt;/iq-bitwidth&gt;"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&lt;scs&gt;"&amp;'Control-Sheet'!$D42&amp;"&lt;/scs&gt;"</f>
        <v/>
      </c>
    </row>
    <row r="26">
      <c r="A26" s="8">
        <f>"            &lt;number-of-prb&gt;"&amp;'Control-Sheet'!$E42&amp;"&lt;/number-of-prb&gt;"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&lt;scs&gt;"&amp;'Control-Sheet'!$D42&amp;"&lt;/scs&gt;"</f>
        <v/>
      </c>
    </row>
    <row r="30">
      <c r="A30" s="8">
        <f>"            &lt;ul-fft-sampling-offset&gt;"&amp;'Control-Sheet'!$F42&amp;"&lt;/ul-fft-sampling-offset&gt;"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&lt;eaxc-id&gt;"&amp;'Control-Sheet'!$G42&amp;"&lt;/eaxc-id&gt;"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&lt;name&gt;"&amp;'Control-Sheet'!$N42&amp;"&lt;/name&gt;"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&lt;center-of-channel-bandwidth&gt;"&amp;'Control-Sheet'!$O42*10^6&amp;"&lt;/center-of-channel-bandwidth&gt;"</f>
        <v/>
      </c>
    </row>
    <row r="44">
      <c r="A44" s="16">
        <f>"          &lt;channel-bandwidth&gt;"&amp;'Control-Sheet'!$P42*10^6&amp;"&lt;/channel-bandwidth&gt;"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&lt;type&gt;"&amp;'Control-Sheet'!$Q42&amp;"&lt;/type&gt;"</f>
        <v/>
      </c>
    </row>
    <row r="47">
      <c r="A47" s="16">
        <f>"          &lt;n-ta-offset&gt;"&amp;'Control-Sheet'!$R42&amp;"&lt;/n-ta-offset&gt;"</f>
        <v/>
      </c>
    </row>
    <row r="48">
      <c r="A48" s="16">
        <f>"          &lt;t-au-offset&gt;"&amp;'Control-Sheet'!$S42&amp;"&lt;/t-au-offset&gt;"</f>
        <v/>
      </c>
    </row>
    <row r="49">
      <c r="A49" s="57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&lt;name&gt;"&amp;'Control-Sheet'!$H42&amp;"&lt;/name&gt;"</f>
        <v/>
      </c>
    </row>
    <row r="55">
      <c r="A55" s="18">
        <f>"          &lt;processing-element&gt;"&amp;'Control-Sheet'!$I42&amp;"&lt;/processing-element&gt;"</f>
        <v/>
      </c>
    </row>
    <row r="56">
      <c r="A56" s="18">
        <f>"          &lt;rx-array-carrier&gt;"&amp;'Control-Sheet'!$J42&amp;"&lt;/rx-array-carrier&gt;"</f>
        <v/>
      </c>
    </row>
    <row r="57">
      <c r="A57" s="18">
        <f>"          &lt;low-level-rx-endpoint&gt;"&amp;'Control-Sheet'!$K42&amp;"&lt;/low-level-rx-endpoint&gt;"</f>
        <v/>
      </c>
    </row>
    <row r="58">
      <c r="A58" s="3" t="inlineStr">
        <is>
          <t xml:space="preserve">        &lt;/low-level-rx-links&gt;</t>
        </is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&lt;name&gt;"&amp;'Control-Sheet'!$C43&amp;"&lt;/name&gt;"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_xlfn.IFS('Control-Sheet'!M43="exponent", 'Control-Sheet'!$G$5, 'Control-Sheet'!M43="BFP", 'Control-Sheet'!$G$6, TRUE, "")</f>
        <v/>
      </c>
    </row>
    <row r="66">
      <c r="A66" s="7">
        <f>"          &lt;iq-bitwidth&gt;"&amp;'Control-Sheet'!L43&amp;"&lt;/iq-bitwidth&gt;"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&lt;scs&gt;"&amp;'Control-Sheet'!$D43&amp;"&lt;/scs&gt;"</f>
        <v/>
      </c>
    </row>
    <row r="75">
      <c r="A75" s="8">
        <f>"            &lt;number-of-prb&gt;"&amp;'Control-Sheet'!$E43&amp;"&lt;/number-of-prb&gt;"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&lt;scs&gt;"&amp;'Control-Sheet'!$D43&amp;"&lt;/scs&gt;"</f>
        <v/>
      </c>
    </row>
    <row r="79">
      <c r="A79" s="8">
        <f>"            &lt;ul-fft-sampling-offset&gt;"&amp;'Control-Sheet'!$F43&amp;"&lt;/ul-fft-sampling-offset&gt;"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&lt;eaxc-id&gt;"&amp;'Control-Sheet'!$G43&amp;"&lt;/eaxc-id&gt;"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&lt;name&gt;"&amp;'Control-Sheet'!$N43&amp;"&lt;/name&gt;"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&lt;center-of-channel-bandwidth&gt;"&amp;'Control-Sheet'!$O43*10^6&amp;"&lt;/center-of-channel-bandwidth&gt;"</f>
        <v/>
      </c>
    </row>
    <row r="93">
      <c r="A93" s="16">
        <f>"          &lt;channel-bandwidth&gt;"&amp;'Control-Sheet'!$P43*10^6&amp;"&lt;/channel-bandwidth&gt;"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&lt;type&gt;"&amp;'Control-Sheet'!$Q43&amp;"&lt;/type&gt;"</f>
        <v/>
      </c>
    </row>
    <row r="96">
      <c r="A96" s="16">
        <f>"          &lt;n-ta-offset&gt;"&amp;'Control-Sheet'!$R43&amp;"&lt;/n-ta-offset&gt;"</f>
        <v/>
      </c>
    </row>
    <row r="97">
      <c r="A97" s="16">
        <f>"          &lt;t-au-offset&gt;"&amp;'Control-Sheet'!$S43&amp;"&lt;/t-au-offset&gt;"</f>
        <v/>
      </c>
    </row>
    <row r="98">
      <c r="A98" s="57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&lt;name&gt;"&amp;'Control-Sheet'!$H43&amp;"&lt;/name&gt;"</f>
        <v/>
      </c>
    </row>
    <row r="104">
      <c r="A104" s="18">
        <f>"          &lt;processing-element&gt;"&amp;'Control-Sheet'!$I43&amp;"&lt;/processing-element&gt;"</f>
        <v/>
      </c>
    </row>
    <row r="105">
      <c r="A105" s="18">
        <f>"          &lt;rx-array-carrier&gt;"&amp;'Control-Sheet'!$J43&amp;"&lt;/rx-array-carrier&gt;"</f>
        <v/>
      </c>
    </row>
    <row r="106">
      <c r="A106" s="18">
        <f>"          &lt;low-level-rx-endpoint&gt;"&amp;'Control-Sheet'!$K43&amp;"&lt;/low-level-rx-endpoint&gt;"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 s="0">
        <f>_xlfn.IFS('Control-Sheet'!B19="OFF", 'Control-Sheet'!$K$6, TRUE, "")</f>
        <v/>
      </c>
    </row>
    <row r="109">
      <c r="A109" s="0">
        <f>_xlfn.IFS('Control-Sheet'!B20="OFF",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&lt;name&gt;"&amp;'Control-Sheet'!$C44&amp;"&lt;/name&gt;"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_xlfn.IFS('Control-Sheet'!M44="exponent", 'Control-Sheet'!$G$5, 'Control-Sheet'!M44="BFP", 'Control-Sheet'!$G$6, TRUE, "")</f>
        <v/>
      </c>
    </row>
    <row r="115">
      <c r="A115" s="7">
        <f>"          &lt;iq-bitwidth&gt;"&amp;'Control-Sheet'!L44&amp;"&lt;/iq-bitwidth&gt;"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&lt;scs&gt;"&amp;'Control-Sheet'!$D44&amp;"&lt;/scs&gt;"</f>
        <v/>
      </c>
    </row>
    <row r="124">
      <c r="A124" s="8">
        <f>"            &lt;number-of-prb&gt;"&amp;'Control-Sheet'!$E44&amp;"&lt;/number-of-prb&gt;"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&lt;scs&gt;"&amp;'Control-Sheet'!$D44&amp;"&lt;/scs&gt;"</f>
        <v/>
      </c>
    </row>
    <row r="128">
      <c r="A128" s="8">
        <f>"            &lt;ul-fft-sampling-offset&gt;"&amp;'Control-Sheet'!$F44&amp;"&lt;/ul-fft-sampling-offset&gt;"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&lt;eaxc-id&gt;"&amp;'Control-Sheet'!$G44&amp;"&lt;/eaxc-id&gt;"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&lt;name&gt;"&amp;'Control-Sheet'!$N44&amp;"&lt;/name&gt;"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&lt;center-of-channel-bandwidth&gt;"&amp;'Control-Sheet'!$O44*10^6&amp;"&lt;/center-of-channel-bandwidth&gt;"</f>
        <v/>
      </c>
    </row>
    <row r="142">
      <c r="A142" s="16">
        <f>"          &lt;channel-bandwidth&gt;"&amp;'Control-Sheet'!$P44*10^6&amp;"&lt;/channel-bandwidth&gt;"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&lt;type&gt;"&amp;'Control-Sheet'!$Q44&amp;"&lt;/type&gt;"</f>
        <v/>
      </c>
    </row>
    <row r="145">
      <c r="A145" s="16">
        <f>"          &lt;n-ta-offset&gt;"&amp;'Control-Sheet'!$R44&amp;"&lt;/n-ta-offset&gt;"</f>
        <v/>
      </c>
    </row>
    <row r="146">
      <c r="A146" s="16">
        <f>"          &lt;t-au-offset&gt;"&amp;'Control-Sheet'!$S44&amp;"&lt;/t-au-offset&gt;"</f>
        <v/>
      </c>
    </row>
    <row r="147">
      <c r="A147" s="57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&lt;name&gt;"&amp;'Control-Sheet'!$H44&amp;"&lt;/name&gt;"</f>
        <v/>
      </c>
    </row>
    <row r="153">
      <c r="A153" s="18">
        <f>"          &lt;processing-element&gt;"&amp;'Control-Sheet'!$I44&amp;"&lt;/processing-element&gt;"</f>
        <v/>
      </c>
    </row>
    <row r="154">
      <c r="A154" s="18">
        <f>"          &lt;rx-array-carrier&gt;"&amp;'Control-Sheet'!$J44&amp;"&lt;/rx-array-carrier&gt;"</f>
        <v/>
      </c>
    </row>
    <row r="155">
      <c r="A155" s="18">
        <f>"          &lt;low-level-rx-endpoint&gt;"&amp;'Control-Sheet'!$K44&amp;"&lt;/low-level-rx-endpoint&gt;"</f>
        <v/>
      </c>
    </row>
    <row r="156">
      <c r="A156" s="3" t="inlineStr">
        <is>
          <t xml:space="preserve">        &lt;/low-level-rx-links&gt;</t>
        </is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&lt;name&gt;"&amp;'Control-Sheet'!$C45&amp;"&lt;/name&gt;"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_xlfn.IFS('Control-Sheet'!M45="exponent", 'Control-Sheet'!$G$5, 'Control-Sheet'!M45="BFP", 'Control-Sheet'!$G$6, TRUE, "")</f>
        <v/>
      </c>
    </row>
    <row r="164">
      <c r="A164" s="7">
        <f>"          &lt;iq-bitwidth&gt;"&amp;'Control-Sheet'!L45&amp;"&lt;/iq-bitwidth&gt;"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&lt;scs&gt;"&amp;'Control-Sheet'!$D45&amp;"&lt;/scs&gt;"</f>
        <v/>
      </c>
    </row>
    <row r="173">
      <c r="A173" s="8">
        <f>"            &lt;number-of-prb&gt;"&amp;'Control-Sheet'!$E45&amp;"&lt;/number-of-prb&gt;"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&lt;scs&gt;"&amp;'Control-Sheet'!$D45&amp;"&lt;/scs&gt;"</f>
        <v/>
      </c>
    </row>
    <row r="177">
      <c r="A177" s="8">
        <f>"            &lt;ul-fft-sampling-offset&gt;"&amp;'Control-Sheet'!$F45&amp;"&lt;/ul-fft-sampling-offset&gt;"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&lt;eaxc-id&gt;"&amp;'Control-Sheet'!$G45&amp;"&lt;/eaxc-id&gt;"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&lt;name&gt;"&amp;'Control-Sheet'!$N45&amp;"&lt;/name&gt;"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&lt;center-of-channel-bandwidth&gt;"&amp;'Control-Sheet'!$O45*10^6&amp;"&lt;/center-of-channel-bandwidth&gt;"</f>
        <v/>
      </c>
    </row>
    <row r="191">
      <c r="A191" s="16">
        <f>"          &lt;channel-bandwidth&gt;"&amp;'Control-Sheet'!$P45*10^6&amp;"&lt;/channel-bandwidth&gt;"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&lt;type&gt;"&amp;'Control-Sheet'!$Q45&amp;"&lt;/type&gt;"</f>
        <v/>
      </c>
    </row>
    <row r="194">
      <c r="A194" s="16">
        <f>"          &lt;n-ta-offset&gt;"&amp;'Control-Sheet'!$R45&amp;"&lt;/n-ta-offset&gt;"</f>
        <v/>
      </c>
    </row>
    <row r="195">
      <c r="A195" s="16">
        <f>"          &lt;t-au-offset&gt;"&amp;'Control-Sheet'!$S45&amp;"&lt;/t-au-offset&gt;"</f>
        <v/>
      </c>
    </row>
    <row r="196">
      <c r="A196" s="57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&lt;name&gt;"&amp;'Control-Sheet'!$H45&amp;"&lt;/name&gt;"</f>
        <v/>
      </c>
    </row>
    <row r="202">
      <c r="A202" s="18">
        <f>"          &lt;processing-element&gt;"&amp;'Control-Sheet'!$I45&amp;"&lt;/processing-element&gt;"</f>
        <v/>
      </c>
    </row>
    <row r="203">
      <c r="A203" s="18">
        <f>"          &lt;rx-array-carrier&gt;"&amp;'Control-Sheet'!$J45&amp;"&lt;/rx-array-carrier&gt;"</f>
        <v/>
      </c>
    </row>
    <row r="204">
      <c r="A204" s="18">
        <f>"          &lt;low-level-rx-endpoint&gt;"&amp;'Control-Sheet'!$K45&amp;"&lt;/low-level-rx-endpoint&gt;"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 s="0">
        <f>_xlfn.IFS('Control-Sheet'!B20="OFF", 'Control-Sheet'!$K$6, TRUE, "")</f>
        <v/>
      </c>
    </row>
    <row r="207">
      <c r="A207" s="0">
        <f>_xlfn.IFS('Control-Sheet'!B21="OFF",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&lt;name&gt;"&amp;'Control-Sheet'!$C46&amp;"&lt;/name&gt;"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_xlfn.IFS('Control-Sheet'!M46="exponent", 'Control-Sheet'!$G$5, 'Control-Sheet'!M46="BFP", 'Control-Sheet'!$G$6, TRUE, "")</f>
        <v/>
      </c>
    </row>
    <row r="213">
      <c r="A213" s="7">
        <f>"          &lt;iq-bitwidth&gt;"&amp;'Control-Sheet'!L46&amp;"&lt;/iq-bitwidth&gt;"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&lt;scs&gt;"&amp;'Control-Sheet'!$D46&amp;"&lt;/scs&gt;"</f>
        <v/>
      </c>
    </row>
    <row r="222">
      <c r="A222" s="8">
        <f>"            &lt;number-of-prb&gt;"&amp;'Control-Sheet'!$E46&amp;"&lt;/number-of-prb&gt;"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&lt;scs&gt;"&amp;'Control-Sheet'!$D46&amp;"&lt;/scs&gt;"</f>
        <v/>
      </c>
    </row>
    <row r="226">
      <c r="A226" s="8">
        <f>"            &lt;ul-fft-sampling-offset&gt;"&amp;'Control-Sheet'!$F46&amp;"&lt;/ul-fft-sampling-offset&gt;"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&lt;eaxc-id&gt;"&amp;'Control-Sheet'!$G46&amp;"&lt;/eaxc-id&gt;"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&lt;name&gt;"&amp;'Control-Sheet'!$N46&amp;"&lt;/name&gt;"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&lt;center-of-channel-bandwidth&gt;"&amp;'Control-Sheet'!$O46*10^6&amp;"&lt;/center-of-channel-bandwidth&gt;"</f>
        <v/>
      </c>
    </row>
    <row r="240">
      <c r="A240" s="16">
        <f>"          &lt;channel-bandwidth&gt;"&amp;'Control-Sheet'!$P46*10^6&amp;"&lt;/channel-bandwidth&gt;"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&lt;type&gt;"&amp;'Control-Sheet'!$Q46&amp;"&lt;/type&gt;"</f>
        <v/>
      </c>
    </row>
    <row r="243">
      <c r="A243" s="16">
        <f>"          &lt;n-ta-offset&gt;"&amp;'Control-Sheet'!$R46&amp;"&lt;/n-ta-offset&gt;"</f>
        <v/>
      </c>
    </row>
    <row r="244">
      <c r="A244" s="16">
        <f>"          &lt;t-au-offset&gt;"&amp;'Control-Sheet'!$S46&amp;"&lt;/t-au-offset&gt;"</f>
        <v/>
      </c>
    </row>
    <row r="245">
      <c r="A245" s="57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&lt;name&gt;"&amp;'Control-Sheet'!$H46&amp;"&lt;/name&gt;"</f>
        <v/>
      </c>
    </row>
    <row r="251">
      <c r="A251" s="18">
        <f>"          &lt;processing-element&gt;"&amp;'Control-Sheet'!$I46&amp;"&lt;/processing-element&gt;"</f>
        <v/>
      </c>
    </row>
    <row r="252">
      <c r="A252" s="18">
        <f>"          &lt;rx-array-carrier&gt;"&amp;'Control-Sheet'!$J46&amp;"&lt;/rx-array-carrier&gt;"</f>
        <v/>
      </c>
    </row>
    <row r="253">
      <c r="A253" s="18">
        <f>"          &lt;low-level-rx-endpoint&gt;"&amp;'Control-Sheet'!$K46&amp;"&lt;/low-level-rx-endpoint&gt;"</f>
        <v/>
      </c>
    </row>
    <row r="254">
      <c r="A254" s="3" t="inlineStr">
        <is>
          <t xml:space="preserve">        &lt;/low-level-rx-links&gt;</t>
        </is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&lt;name&gt;"&amp;'Control-Sheet'!$C47&amp;"&lt;/name&gt;"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_xlfn.IFS('Control-Sheet'!M47="exponent", 'Control-Sheet'!$G$5, 'Control-Sheet'!M47="BFP", 'Control-Sheet'!$G$6, TRUE, "")</f>
        <v/>
      </c>
    </row>
    <row r="262">
      <c r="A262" s="7">
        <f>"          &lt;iq-bitwidth&gt;"&amp;'Control-Sheet'!L47&amp;"&lt;/iq-bitwidth&gt;"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&lt;scs&gt;"&amp;'Control-Sheet'!$D47&amp;"&lt;/scs&gt;"</f>
        <v/>
      </c>
    </row>
    <row r="271">
      <c r="A271" s="8">
        <f>"            &lt;number-of-prb&gt;"&amp;'Control-Sheet'!$E47&amp;"&lt;/number-of-prb&gt;"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&lt;scs&gt;"&amp;'Control-Sheet'!$D47&amp;"&lt;/scs&gt;"</f>
        <v/>
      </c>
    </row>
    <row r="275">
      <c r="A275" s="8">
        <f>"            &lt;ul-fft-sampling-offset&gt;"&amp;'Control-Sheet'!$F47&amp;"&lt;/ul-fft-sampling-offset&gt;"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&lt;eaxc-id&gt;"&amp;'Control-Sheet'!$G47&amp;"&lt;/eaxc-id&gt;"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&lt;name&gt;"&amp;'Control-Sheet'!$N47&amp;"&lt;/name&gt;"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&lt;center-of-channel-bandwidth&gt;"&amp;'Control-Sheet'!$O47*10^6&amp;"&lt;/center-of-channel-bandwidth&gt;"</f>
        <v/>
      </c>
    </row>
    <row r="289">
      <c r="A289" s="16">
        <f>"          &lt;channel-bandwidth&gt;"&amp;'Control-Sheet'!$P47*10^6&amp;"&lt;/channel-bandwidth&gt;"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&lt;type&gt;"&amp;'Control-Sheet'!$Q47&amp;"&lt;/type&gt;"</f>
        <v/>
      </c>
    </row>
    <row r="292">
      <c r="A292" s="16">
        <f>"          &lt;n-ta-offset&gt;"&amp;'Control-Sheet'!$R47&amp;"&lt;/n-ta-offset&gt;"</f>
        <v/>
      </c>
    </row>
    <row r="293">
      <c r="A293" s="16">
        <f>"          &lt;t-au-offset&gt;"&amp;'Control-Sheet'!$S47&amp;"&lt;/t-au-offset&gt;"</f>
        <v/>
      </c>
    </row>
    <row r="294">
      <c r="A294" s="57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&lt;name&gt;"&amp;'Control-Sheet'!$H47&amp;"&lt;/name&gt;"</f>
        <v/>
      </c>
    </row>
    <row r="300">
      <c r="A300" s="18">
        <f>"          &lt;processing-element&gt;"&amp;'Control-Sheet'!$I47&amp;"&lt;/processing-element&gt;"</f>
        <v/>
      </c>
    </row>
    <row r="301">
      <c r="A301" s="18">
        <f>"          &lt;rx-array-carrier&gt;"&amp;'Control-Sheet'!$J47&amp;"&lt;/rx-array-carrier&gt;"</f>
        <v/>
      </c>
    </row>
    <row r="302">
      <c r="A302" s="18">
        <f>"          &lt;low-level-rx-endpoint&gt;"&amp;'Control-Sheet'!$K47&amp;"&lt;/low-level-rx-endpoint&gt;"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 s="0">
        <f>_xlfn.IFS('Control-Sheet'!B21="OFF", 'Control-Sheet'!$K$6, TRUE, "")</f>
        <v/>
      </c>
    </row>
    <row r="305">
      <c r="A305" s="0">
        <f>_xlfn.IFS('Control-Sheet'!B22="OFF",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&lt;name&gt;"&amp;'Control-Sheet'!$C48&amp;"&lt;/name&gt;"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_xlfn.IFS('Control-Sheet'!M48="exponent", 'Control-Sheet'!$G$5, 'Control-Sheet'!M48="BFP", 'Control-Sheet'!$G$6, TRUE, "")</f>
        <v/>
      </c>
    </row>
    <row r="311">
      <c r="A311" s="7">
        <f>"          &lt;iq-bitwidth&gt;"&amp;'Control-Sheet'!L48&amp;"&lt;/iq-bitwidth&gt;"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&lt;scs&gt;"&amp;'Control-Sheet'!$D48&amp;"&lt;/scs&gt;"</f>
        <v/>
      </c>
    </row>
    <row r="320">
      <c r="A320" s="8">
        <f>"            &lt;number-of-prb&gt;"&amp;'Control-Sheet'!$E48&amp;"&lt;/number-of-prb&gt;"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&lt;scs&gt;"&amp;'Control-Sheet'!$D48&amp;"&lt;/scs&gt;"</f>
        <v/>
      </c>
    </row>
    <row r="324">
      <c r="A324" s="8">
        <f>"            &lt;ul-fft-sampling-offset&gt;"&amp;'Control-Sheet'!$F48&amp;"&lt;/ul-fft-sampling-offset&gt;"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&lt;eaxc-id&gt;"&amp;'Control-Sheet'!$G48&amp;"&lt;/eaxc-id&gt;"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&lt;name&gt;"&amp;'Control-Sheet'!$N48&amp;"&lt;/name&gt;"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&lt;center-of-channel-bandwidth&gt;"&amp;'Control-Sheet'!$O48*10^6&amp;"&lt;/center-of-channel-bandwidth&gt;"</f>
        <v/>
      </c>
    </row>
    <row r="338">
      <c r="A338" s="16">
        <f>"          &lt;channel-bandwidth&gt;"&amp;'Control-Sheet'!$P48*10^6&amp;"&lt;/channel-bandwidth&gt;"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&lt;type&gt;"&amp;'Control-Sheet'!$Q48&amp;"&lt;/type&gt;"</f>
        <v/>
      </c>
    </row>
    <row r="341">
      <c r="A341" s="16">
        <f>"          &lt;n-ta-offset&gt;"&amp;'Control-Sheet'!$R48&amp;"&lt;/n-ta-offset&gt;"</f>
        <v/>
      </c>
    </row>
    <row r="342">
      <c r="A342" s="16">
        <f>"          &lt;t-au-offset&gt;"&amp;'Control-Sheet'!$S48&amp;"&lt;/t-au-offset&gt;"</f>
        <v/>
      </c>
    </row>
    <row r="343">
      <c r="A343" s="57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&lt;name&gt;"&amp;'Control-Sheet'!$H48&amp;"&lt;/name&gt;"</f>
        <v/>
      </c>
    </row>
    <row r="349">
      <c r="A349" s="18">
        <f>"          &lt;processing-element&gt;"&amp;'Control-Sheet'!$I48&amp;"&lt;/processing-element&gt;"</f>
        <v/>
      </c>
    </row>
    <row r="350">
      <c r="A350" s="18">
        <f>"          &lt;rx-array-carrier&gt;"&amp;'Control-Sheet'!$J48&amp;"&lt;/rx-array-carrier&gt;"</f>
        <v/>
      </c>
    </row>
    <row r="351">
      <c r="A351" s="18">
        <f>"          &lt;low-level-rx-endpoint&gt;"&amp;'Control-Sheet'!$K48&amp;"&lt;/low-level-rx-endpoint&gt;"</f>
        <v/>
      </c>
    </row>
    <row r="352">
      <c r="A352" s="3" t="inlineStr">
        <is>
          <t xml:space="preserve">        &lt;/low-level-rx-links&gt;</t>
        </is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&lt;name&gt;"&amp;'Control-Sheet'!$C49&amp;"&lt;/name&gt;"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_xlfn.IFS('Control-Sheet'!M49="exponent", 'Control-Sheet'!$G$5, 'Control-Sheet'!M49="BFP", 'Control-Sheet'!$G$6, TRUE, "")</f>
        <v/>
      </c>
    </row>
    <row r="360">
      <c r="A360" s="7">
        <f>"          &lt;iq-bitwidth&gt;"&amp;'Control-Sheet'!L49&amp;"&lt;/iq-bitwidth&gt;"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&lt;scs&gt;"&amp;'Control-Sheet'!$D49&amp;"&lt;/scs&gt;"</f>
        <v/>
      </c>
    </row>
    <row r="369">
      <c r="A369" s="8">
        <f>"            &lt;number-of-prb&gt;"&amp;'Control-Sheet'!$E49&amp;"&lt;/number-of-prb&gt;"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&lt;scs&gt;"&amp;'Control-Sheet'!$D49&amp;"&lt;/scs&gt;"</f>
        <v/>
      </c>
    </row>
    <row r="373">
      <c r="A373" s="8">
        <f>"            &lt;ul-fft-sampling-offset&gt;"&amp;'Control-Sheet'!$F49&amp;"&lt;/ul-fft-sampling-offset&gt;"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&lt;eaxc-id&gt;"&amp;'Control-Sheet'!$G49&amp;"&lt;/eaxc-id&gt;"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&lt;name&gt;"&amp;'Control-Sheet'!$N49&amp;"&lt;/name&gt;"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&lt;center-of-channel-bandwidth&gt;"&amp;'Control-Sheet'!$O49*10^6&amp;"&lt;/center-of-channel-bandwidth&gt;"</f>
        <v/>
      </c>
    </row>
    <row r="387">
      <c r="A387" s="16">
        <f>"          &lt;channel-bandwidth&gt;"&amp;'Control-Sheet'!$P49*10^6&amp;"&lt;/channel-bandwidth&gt;"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&lt;type&gt;"&amp;'Control-Sheet'!$Q49&amp;"&lt;/type&gt;"</f>
        <v/>
      </c>
    </row>
    <row r="390">
      <c r="A390" s="16">
        <f>"          &lt;n-ta-offset&gt;"&amp;'Control-Sheet'!$R49&amp;"&lt;/n-ta-offset&gt;"</f>
        <v/>
      </c>
    </row>
    <row r="391">
      <c r="A391" s="16">
        <f>"          &lt;t-au-offset&gt;"&amp;'Control-Sheet'!$S49&amp;"&lt;/t-au-offset&gt;"</f>
        <v/>
      </c>
    </row>
    <row r="392">
      <c r="A392" s="57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&lt;name&gt;"&amp;'Control-Sheet'!$H49&amp;"&lt;/name&gt;"</f>
        <v/>
      </c>
    </row>
    <row r="398">
      <c r="A398" s="18">
        <f>"          &lt;processing-element&gt;"&amp;'Control-Sheet'!$I49&amp;"&lt;/processing-element&gt;"</f>
        <v/>
      </c>
    </row>
    <row r="399">
      <c r="A399" s="18">
        <f>"          &lt;rx-array-carrier&gt;"&amp;'Control-Sheet'!$J49&amp;"&lt;/rx-array-carrier&gt;"</f>
        <v/>
      </c>
    </row>
    <row r="400">
      <c r="A400" s="18">
        <f>"          &lt;low-level-rx-endpoint&gt;"&amp;'Control-Sheet'!$K49&amp;"&lt;/low-level-rx-endpoint&gt;"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 s="0">
        <f>_xlfn.IFS('Control-Sheet'!B22="OFF", 'Control-Sheet'!$K$6, TRUE, "")</f>
        <v/>
      </c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406" zoomScale="70" zoomScaleNormal="70" workbookViewId="0">
      <selection activeCell="A298" sqref="A298"/>
    </sheetView>
  </sheetViews>
  <sheetFormatPr baseColWidth="8" defaultRowHeight="13.5"/>
  <cols>
    <col width="79" bestFit="1" customWidth="1" style="19" min="1" max="1"/>
    <col width="83.85546875" customWidth="1" style="76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_xlfn.IFS('Control-Sheet'!B19="OFF",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&lt;name&gt;"&amp;'Control-Sheet'!$C55&amp;"&lt;/name&gt;"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_xlfn.IFS('Control-Sheet'!M55="exponent", 'Control-Sheet'!$G$5, 'Control-Sheet'!M55="BFP", 'Control-Sheet'!$G$6, TRUE, "")</f>
        <v/>
      </c>
    </row>
    <row r="17">
      <c r="A17" s="7">
        <f>"          &lt;iq-bitwidth&gt;"&amp;'Control-Sheet'!L55&amp;"&lt;/iq-bitwidth&gt;"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&lt;scs&gt;"&amp;'Control-Sheet'!$D55&amp;"&lt;/scs&gt;"</f>
        <v/>
      </c>
    </row>
    <row r="26">
      <c r="A26" s="8">
        <f>"            &lt;number-of-prb&gt;"&amp;'Control-Sheet'!$E55&amp;"&lt;/number-of-prb&gt;"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&lt;scs&gt;"&amp;'Control-Sheet'!$D55&amp;"&lt;/scs&gt;"</f>
        <v/>
      </c>
    </row>
    <row r="30">
      <c r="A30" s="8">
        <f>"            &lt;ul-fft-sampling-offset&gt;"&amp;'Control-Sheet'!$F55&amp;"&lt;/ul-fft-sampling-offset&gt;"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&lt;eaxc-id&gt;"&amp;'Control-Sheet'!$G55&amp;"&lt;/eaxc-id&gt;"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&lt;name&gt;"&amp;'Control-Sheet'!$H55&amp;"&lt;/name&gt;"</f>
        <v/>
      </c>
    </row>
    <row r="42">
      <c r="A42" s="18">
        <f>"          &lt;processing-element&gt;"&amp;'Control-Sheet'!$I55&amp;"&lt;/processing-element&gt;"</f>
        <v/>
      </c>
    </row>
    <row r="43">
      <c r="A43" s="18">
        <f>"          &lt;rx-array-carrier&gt;"&amp;'Control-Sheet'!$J55&amp;"&lt;/rx-array-carrier&gt;"</f>
        <v/>
      </c>
    </row>
    <row r="44">
      <c r="A44" s="18">
        <f>"          &lt;low-level-rx-endpoint&gt;"&amp;'Control-Sheet'!$K55&amp;"&lt;/low-level-rx-endpoint&gt;"</f>
        <v/>
      </c>
    </row>
    <row r="45">
      <c r="A45" s="3" t="inlineStr">
        <is>
          <t xml:space="preserve">        &lt;/low-level-rx-links&gt;</t>
        </is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&lt;name&gt;"&amp;'Control-Sheet'!$C56&amp;"&lt;/name&gt;"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_xlfn.IFS('Control-Sheet'!M56="exponent", 'Control-Sheet'!$G$5, 'Control-Sheet'!M56="BFP", 'Control-Sheet'!$G$6, TRUE, "")</f>
        <v/>
      </c>
    </row>
    <row r="53">
      <c r="A53" s="7">
        <f>"          &lt;iq-bitwidth&gt;"&amp;'Control-Sheet'!L56&amp;"&lt;/iq-bitwidth&gt;"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&lt;scs&gt;"&amp;'Control-Sheet'!$D56&amp;"&lt;/scs&gt;"</f>
        <v/>
      </c>
    </row>
    <row r="62">
      <c r="A62" s="8">
        <f>"            &lt;number-of-prb&gt;"&amp;'Control-Sheet'!$E56&amp;"&lt;/number-of-prb&gt;"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&lt;scs&gt;"&amp;'Control-Sheet'!$D56&amp;"&lt;/scs&gt;"</f>
        <v/>
      </c>
    </row>
    <row r="66">
      <c r="A66" s="8">
        <f>"            &lt;ul-fft-sampling-offset&gt;"&amp;'Control-Sheet'!$F56&amp;"&lt;/ul-fft-sampling-offset&gt;"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&lt;eaxc-id&gt;"&amp;'Control-Sheet'!$G56&amp;"&lt;/eaxc-id&gt;"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&lt;name&gt;"&amp;'Control-Sheet'!$H56&amp;"&lt;/name&gt;"</f>
        <v/>
      </c>
    </row>
    <row r="78">
      <c r="A78" s="18">
        <f>"          &lt;processing-element&gt;"&amp;'Control-Sheet'!$I56&amp;"&lt;/processing-element&gt;"</f>
        <v/>
      </c>
    </row>
    <row r="79">
      <c r="A79" s="18">
        <f>"          &lt;rx-array-carrier&gt;"&amp;'Control-Sheet'!$J56&amp;"&lt;/rx-array-carrier&gt;"</f>
        <v/>
      </c>
    </row>
    <row r="80">
      <c r="A80" s="18">
        <f>"          &lt;low-level-rx-endpoint&gt;"&amp;'Control-Sheet'!$K56&amp;"&lt;/low-level-rx-endpoint&gt;"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 s="0">
        <f>_xlfn.IFS('Control-Sheet'!B19="OFF", 'Control-Sheet'!$K$6, TRUE, "")</f>
        <v/>
      </c>
    </row>
    <row r="83">
      <c r="A83" s="0">
        <f>_xlfn.IFS('Control-Sheet'!B20="OFF",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&lt;name&gt;"&amp;'Control-Sheet'!$C57&amp;"&lt;/name&gt;"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_xlfn.IFS('Control-Sheet'!M57="exponent", 'Control-Sheet'!$G$5, 'Control-Sheet'!M57="BFP", 'Control-Sheet'!$G$6, TRUE, "")</f>
        <v/>
      </c>
    </row>
    <row r="89">
      <c r="A89" s="7">
        <f>"          &lt;iq-bitwidth&gt;"&amp;'Control-Sheet'!L57&amp;"&lt;/iq-bitwidth&gt;"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&lt;scs&gt;"&amp;'Control-Sheet'!$D57&amp;"&lt;/scs&gt;"</f>
        <v/>
      </c>
    </row>
    <row r="98">
      <c r="A98" s="8">
        <f>"            &lt;number-of-prb&gt;"&amp;'Control-Sheet'!$E57&amp;"&lt;/number-of-prb&gt;"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&lt;scs&gt;"&amp;'Control-Sheet'!$D57&amp;"&lt;/scs&gt;"</f>
        <v/>
      </c>
    </row>
    <row r="102">
      <c r="A102" s="8">
        <f>"            &lt;ul-fft-sampling-offset&gt;"&amp;'Control-Sheet'!$F57&amp;"&lt;/ul-fft-sampling-offset&gt;"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&lt;eaxc-id&gt;"&amp;'Control-Sheet'!$G57&amp;"&lt;/eaxc-id&gt;"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&lt;name&gt;"&amp;'Control-Sheet'!$H57&amp;"&lt;/name&gt;"</f>
        <v/>
      </c>
    </row>
    <row r="114">
      <c r="A114" s="18">
        <f>"          &lt;processing-element&gt;"&amp;'Control-Sheet'!$I57&amp;"&lt;/processing-element&gt;"</f>
        <v/>
      </c>
    </row>
    <row r="115">
      <c r="A115" s="18">
        <f>"          &lt;rx-array-carrier&gt;"&amp;'Control-Sheet'!$J57&amp;"&lt;/rx-array-carrier&gt;"</f>
        <v/>
      </c>
    </row>
    <row r="116">
      <c r="A116" s="18">
        <f>"          &lt;low-level-rx-endpoint&gt;"&amp;'Control-Sheet'!$K57&amp;"&lt;/low-level-rx-endpoint&gt;"</f>
        <v/>
      </c>
    </row>
    <row r="117">
      <c r="A117" s="3" t="inlineStr">
        <is>
          <t xml:space="preserve">        &lt;/low-level-rx-links&gt;</t>
        </is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&lt;name&gt;"&amp;'Control-Sheet'!$C58&amp;"&lt;/name&gt;"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_xlfn.IFS('Control-Sheet'!M58="exponent", 'Control-Sheet'!$G$5, 'Control-Sheet'!M58="BFP", 'Control-Sheet'!$G$6, TRUE, "")</f>
        <v/>
      </c>
    </row>
    <row r="125">
      <c r="A125" s="7">
        <f>"          &lt;iq-bitwidth&gt;"&amp;'Control-Sheet'!L58&amp;"&lt;/iq-bitwidth&gt;"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&lt;scs&gt;"&amp;'Control-Sheet'!$D58&amp;"&lt;/scs&gt;"</f>
        <v/>
      </c>
    </row>
    <row r="134">
      <c r="A134" s="8">
        <f>"            &lt;number-of-prb&gt;"&amp;'Control-Sheet'!$E58&amp;"&lt;/number-of-prb&gt;"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&lt;scs&gt;"&amp;'Control-Sheet'!$D58&amp;"&lt;/scs&gt;"</f>
        <v/>
      </c>
    </row>
    <row r="138">
      <c r="A138" s="8">
        <f>"            &lt;ul-fft-sampling-offset&gt;"&amp;'Control-Sheet'!$F58&amp;"&lt;/ul-fft-sampling-offset&gt;"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&lt;eaxc-id&gt;"&amp;'Control-Sheet'!$G58&amp;"&lt;/eaxc-id&gt;"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&lt;name&gt;"&amp;'Control-Sheet'!$H58&amp;"&lt;/name&gt;"</f>
        <v/>
      </c>
    </row>
    <row r="150">
      <c r="A150" s="18">
        <f>"          &lt;processing-element&gt;"&amp;'Control-Sheet'!$I58&amp;"&lt;/processing-element&gt;"</f>
        <v/>
      </c>
    </row>
    <row r="151">
      <c r="A151" s="18">
        <f>"          &lt;rx-array-carrier&gt;"&amp;'Control-Sheet'!$J58&amp;"&lt;/rx-array-carrier&gt;"</f>
        <v/>
      </c>
    </row>
    <row r="152">
      <c r="A152" s="18">
        <f>"          &lt;low-level-rx-endpoint&gt;"&amp;'Control-Sheet'!$K58&amp;"&lt;/low-level-rx-endpoint&gt;"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 s="0">
        <f>_xlfn.IFS('Control-Sheet'!B20="OFF", 'Control-Sheet'!$K$6, TRUE, "")</f>
        <v/>
      </c>
    </row>
    <row r="155">
      <c r="A155" s="0">
        <f>_xlfn.IFS('Control-Sheet'!B21="OFF",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&lt;name&gt;"&amp;'Control-Sheet'!$C59&amp;"&lt;/name&gt;"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_xlfn.IFS('Control-Sheet'!M59="exponent", 'Control-Sheet'!$G$5, 'Control-Sheet'!M59="BFP", 'Control-Sheet'!$G$6, TRUE, "")</f>
        <v/>
      </c>
    </row>
    <row r="161">
      <c r="A161" s="7">
        <f>"          &lt;iq-bitwidth&gt;"&amp;'Control-Sheet'!L59&amp;"&lt;/iq-bitwidth&gt;"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&lt;scs&gt;"&amp;'Control-Sheet'!$D59&amp;"&lt;/scs&gt;"</f>
        <v/>
      </c>
    </row>
    <row r="170">
      <c r="A170" s="8">
        <f>"            &lt;number-of-prb&gt;"&amp;'Control-Sheet'!$E59&amp;"&lt;/number-of-prb&gt;"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&lt;scs&gt;"&amp;'Control-Sheet'!$D59&amp;"&lt;/scs&gt;"</f>
        <v/>
      </c>
    </row>
    <row r="174">
      <c r="A174" s="8">
        <f>"            &lt;ul-fft-sampling-offset&gt;"&amp;'Control-Sheet'!$F59&amp;"&lt;/ul-fft-sampling-offset&gt;"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&lt;eaxc-id&gt;"&amp;'Control-Sheet'!$G59&amp;"&lt;/eaxc-id&gt;"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&lt;name&gt;"&amp;'Control-Sheet'!$H59&amp;"&lt;/name&gt;"</f>
        <v/>
      </c>
    </row>
    <row r="186">
      <c r="A186" s="18">
        <f>"          &lt;processing-element&gt;"&amp;'Control-Sheet'!$I59&amp;"&lt;/processing-element&gt;"</f>
        <v/>
      </c>
    </row>
    <row r="187">
      <c r="A187" s="18">
        <f>"          &lt;rx-array-carrier&gt;"&amp;'Control-Sheet'!$J59&amp;"&lt;/rx-array-carrier&gt;"</f>
        <v/>
      </c>
    </row>
    <row r="188">
      <c r="A188" s="18">
        <f>"          &lt;low-level-rx-endpoint&gt;"&amp;'Control-Sheet'!$K59&amp;"&lt;/low-level-rx-endpoint&gt;"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 s="0" t="n"/>
    </row>
    <row r="191">
      <c r="A191" s="0" t="n"/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&lt;name&gt;"&amp;'Control-Sheet'!$C60&amp;"&lt;/name&gt;"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_xlfn.IFS('Control-Sheet'!M60="exponent", 'Control-Sheet'!$G$5, 'Control-Sheet'!M60="BFP", 'Control-Sheet'!$G$6, TRUE, "")</f>
        <v/>
      </c>
    </row>
    <row r="197">
      <c r="A197" s="7">
        <f>"          &lt;iq-bitwidth&gt;"&amp;'Control-Sheet'!L60&amp;"&lt;/iq-bitwidth&gt;"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&lt;scs&gt;"&amp;'Control-Sheet'!$D60&amp;"&lt;/scs&gt;"</f>
        <v/>
      </c>
    </row>
    <row r="206">
      <c r="A206" s="8">
        <f>"            &lt;number-of-prb&gt;"&amp;'Control-Sheet'!$E60&amp;"&lt;/number-of-prb&gt;"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&lt;scs&gt;"&amp;'Control-Sheet'!$D60&amp;"&lt;/scs&gt;"</f>
        <v/>
      </c>
    </row>
    <row r="210">
      <c r="A210" s="8">
        <f>"            &lt;ul-fft-sampling-offset&gt;"&amp;'Control-Sheet'!$F60&amp;"&lt;/ul-fft-sampling-offset&gt;"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&lt;eaxc-id&gt;"&amp;'Control-Sheet'!$G60&amp;"&lt;/eaxc-id&gt;"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&lt;name&gt;"&amp;'Control-Sheet'!$H60&amp;"&lt;/name&gt;"</f>
        <v/>
      </c>
    </row>
    <row r="222">
      <c r="A222" s="18">
        <f>"          &lt;processing-element&gt;"&amp;'Control-Sheet'!$I60&amp;"&lt;/processing-element&gt;"</f>
        <v/>
      </c>
    </row>
    <row r="223">
      <c r="A223" s="18">
        <f>"          &lt;rx-array-carrier&gt;"&amp;'Control-Sheet'!$J60&amp;"&lt;/rx-array-carrier&gt;"</f>
        <v/>
      </c>
    </row>
    <row r="224">
      <c r="A224" s="18">
        <f>"          &lt;low-level-rx-endpoint&gt;"&amp;'Control-Sheet'!$K60&amp;"&lt;/low-level-rx-endpoint&gt;"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 s="0">
        <f>_xlfn.IFS('Control-Sheet'!B21="OFF", 'Control-Sheet'!$K$6, TRUE, "")</f>
        <v/>
      </c>
    </row>
    <row r="227">
      <c r="A227" s="0">
        <f>_xlfn.IFS('Control-Sheet'!B22="OFF",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&lt;name&gt;"&amp;'Control-Sheet'!$C61&amp;"&lt;/name&gt;"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_xlfn.IFS('Control-Sheet'!M61="exponent", 'Control-Sheet'!$G$5, 'Control-Sheet'!M61="BFP", 'Control-Sheet'!$G$6, TRUE, "")</f>
        <v/>
      </c>
    </row>
    <row r="233">
      <c r="A233" s="7">
        <f>"          &lt;iq-bitwidth&gt;"&amp;'Control-Sheet'!L61&amp;"&lt;/iq-bitwidth&gt;"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&lt;scs&gt;"&amp;'Control-Sheet'!$D61&amp;"&lt;/scs&gt;"</f>
        <v/>
      </c>
    </row>
    <row r="242">
      <c r="A242" s="8">
        <f>"            &lt;number-of-prb&gt;"&amp;'Control-Sheet'!$E61&amp;"&lt;/number-of-prb&gt;"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&lt;scs&gt;"&amp;'Control-Sheet'!$D61&amp;"&lt;/scs&gt;"</f>
        <v/>
      </c>
    </row>
    <row r="246">
      <c r="A246" s="8">
        <f>"            &lt;ul-fft-sampling-offset&gt;"&amp;'Control-Sheet'!$F61&amp;"&lt;/ul-fft-sampling-offset&gt;"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&lt;eaxc-id&gt;"&amp;'Control-Sheet'!$G61&amp;"&lt;/eaxc-id&gt;"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&lt;name&gt;"&amp;'Control-Sheet'!$H61&amp;"&lt;/name&gt;"</f>
        <v/>
      </c>
    </row>
    <row r="258">
      <c r="A258" s="18">
        <f>"          &lt;processing-element&gt;"&amp;'Control-Sheet'!$I61&amp;"&lt;/processing-element&gt;"</f>
        <v/>
      </c>
    </row>
    <row r="259">
      <c r="A259" s="18">
        <f>"          &lt;rx-array-carrier&gt;"&amp;'Control-Sheet'!$J61&amp;"&lt;/rx-array-carrier&gt;"</f>
        <v/>
      </c>
    </row>
    <row r="260">
      <c r="A260" s="18">
        <f>"          &lt;low-level-rx-endpoint&gt;"&amp;'Control-Sheet'!$K61&amp;"&lt;/low-level-rx-endpoint&gt;"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 s="0" t="n"/>
    </row>
    <row r="263">
      <c r="A263" s="0" t="n"/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&lt;name&gt;"&amp;'Control-Sheet'!$C62&amp;"&lt;/name&gt;"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_xlfn.IFS('Control-Sheet'!M62="exponent", 'Control-Sheet'!$G$5, 'Control-Sheet'!M62="BFP", 'Control-Sheet'!$G$6, TRUE, "")</f>
        <v/>
      </c>
    </row>
    <row r="269">
      <c r="A269" s="7">
        <f>"          &lt;iq-bitwidth&gt;"&amp;'Control-Sheet'!L62&amp;"&lt;/iq-bitwidth&gt;"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&lt;scs&gt;"&amp;'Control-Sheet'!$D62&amp;"&lt;/scs&gt;"</f>
        <v/>
      </c>
    </row>
    <row r="278">
      <c r="A278" s="8">
        <f>"            &lt;number-of-prb&gt;"&amp;'Control-Sheet'!$E62&amp;"&lt;/number-of-prb&gt;"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&lt;scs&gt;"&amp;'Control-Sheet'!$D62&amp;"&lt;/scs&gt;"</f>
        <v/>
      </c>
    </row>
    <row r="282">
      <c r="A282" s="8">
        <f>"            &lt;ul-fft-sampling-offset&gt;"&amp;'Control-Sheet'!$F62&amp;"&lt;/ul-fft-sampling-offset&gt;"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&lt;eaxc-id&gt;"&amp;'Control-Sheet'!$G62&amp;"&lt;/eaxc-id&gt;"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&lt;name&gt;"&amp;'Control-Sheet'!$H62&amp;"&lt;/name&gt;"</f>
        <v/>
      </c>
    </row>
    <row r="294">
      <c r="A294" s="18">
        <f>"          &lt;processing-element&gt;"&amp;'Control-Sheet'!$I62&amp;"&lt;/processing-element&gt;"</f>
        <v/>
      </c>
    </row>
    <row r="295">
      <c r="A295" s="18">
        <f>"          &lt;rx-array-carrier&gt;"&amp;'Control-Sheet'!$J62&amp;"&lt;/rx-array-carrier&gt;"</f>
        <v/>
      </c>
    </row>
    <row r="296">
      <c r="A296" s="18">
        <f>"          &lt;low-level-rx-endpoint&gt;"&amp;'Control-Sheet'!$K62&amp;"&lt;/low-level-rx-endpoint&gt;"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 s="0">
        <f>_xlfn.IFS('Control-Sheet'!B22="OFF",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3"/>
  <sheetViews>
    <sheetView topLeftCell="A61" workbookViewId="0">
      <selection activeCell="H43" sqref="H43"/>
    </sheetView>
  </sheetViews>
  <sheetFormatPr baseColWidth="8" defaultRowHeight="13.5"/>
  <cols>
    <col width="64.85546875" bestFit="1" customWidth="1" style="76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_xlfn.IFS('Control-Sheet'!B19="OFF",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&lt;name&gt;"&amp;'Control-Sheet'!$K29&amp;"&lt;/name&gt;"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 s="0" t="inlineStr">
        <is>
          <t xml:space="preserve">        &lt;tx-array-carriers&gt;</t>
        </is>
      </c>
    </row>
    <row r="15">
      <c r="A15" s="20">
        <f>"          &lt;name&gt;"&amp;'Control-Sheet'!$K30&amp;"&lt;/name&gt;"</f>
        <v/>
      </c>
    </row>
    <row r="16">
      <c r="A16" s="0" t="inlineStr">
        <is>
          <t xml:space="preserve">          &lt;active&gt;ACTIVE&lt;/active&gt;</t>
        </is>
      </c>
    </row>
    <row r="17">
      <c r="A17" s="0" t="inlineStr">
        <is>
          <t xml:space="preserve">        &lt;/tx-array-carriers&gt;</t>
        </is>
      </c>
    </row>
    <row r="18">
      <c r="A18" s="0">
        <f>_xlfn.IFS('Control-Sheet'!B19="OFF", 'Control-Sheet'!$K$6, TRUE, "")</f>
        <v/>
      </c>
    </row>
    <row r="19">
      <c r="A19" s="0">
        <f>_xlfn.IFS('Control-Sheet'!B20="OFF", 'Control-Sheet'!$K$5, TRUE, "")</f>
        <v/>
      </c>
    </row>
    <row r="20">
      <c r="A20" s="0" t="inlineStr">
        <is>
          <t xml:space="preserve">        &lt;tx-array-carriers&gt;</t>
        </is>
      </c>
    </row>
    <row r="21">
      <c r="A21" s="20">
        <f>"          &lt;name&gt;"&amp;'Control-Sheet'!$K31&amp;"&lt;/name&gt;"</f>
        <v/>
      </c>
    </row>
    <row r="22">
      <c r="A22" s="0" t="inlineStr">
        <is>
          <t xml:space="preserve">          &lt;active&gt;ACTIVE&lt;/active&gt;</t>
        </is>
      </c>
    </row>
    <row r="23">
      <c r="A23" s="0" t="inlineStr">
        <is>
          <t xml:space="preserve">        &lt;/tx-array-carriers&gt;</t>
        </is>
      </c>
    </row>
    <row r="24">
      <c r="A24" s="0" t="inlineStr">
        <is>
          <t xml:space="preserve">        &lt;tx-array-carriers&gt;</t>
        </is>
      </c>
    </row>
    <row r="25">
      <c r="A25" s="20">
        <f>"          &lt;name&gt;"&amp;'Control-Sheet'!$K32&amp;"&lt;/name&gt;"</f>
        <v/>
      </c>
    </row>
    <row r="26">
      <c r="A26" s="0" t="inlineStr">
        <is>
          <t xml:space="preserve">          &lt;active&gt;ACTIVE&lt;/active&gt;</t>
        </is>
      </c>
    </row>
    <row r="27">
      <c r="A27" s="0" t="inlineStr">
        <is>
          <t xml:space="preserve">        &lt;/tx-array-carriers&gt;</t>
        </is>
      </c>
    </row>
    <row r="28">
      <c r="A28" s="0">
        <f>_xlfn.IFS('Control-Sheet'!B20="OFF", 'Control-Sheet'!$K$6, TRUE, "")</f>
        <v/>
      </c>
    </row>
    <row r="29">
      <c r="A29" s="0">
        <f>_xlfn.IFS('Control-Sheet'!B21="OFF", 'Control-Sheet'!$K$5, TRUE, "")</f>
        <v/>
      </c>
    </row>
    <row r="30">
      <c r="A30" s="0" t="inlineStr">
        <is>
          <t xml:space="preserve">        &lt;tx-array-carriers&gt;</t>
        </is>
      </c>
    </row>
    <row r="31">
      <c r="A31" s="20">
        <f>"          &lt;name&gt;"&amp;'Control-Sheet'!$K33&amp;"&lt;/name&gt;"</f>
        <v/>
      </c>
    </row>
    <row r="32">
      <c r="A32" s="0" t="inlineStr">
        <is>
          <t xml:space="preserve">          &lt;active&gt;ACTIVE&lt;/active&gt;</t>
        </is>
      </c>
    </row>
    <row r="33">
      <c r="A33" s="0" t="inlineStr">
        <is>
          <t xml:space="preserve">        &lt;/tx-array-carriers&gt;</t>
        </is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&lt;name&gt;"&amp;'Control-Sheet'!$K34&amp;"&lt;/name&gt;"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 s="0">
        <f>_xlfn.IFS('Control-Sheet'!B21="OFF", 'Control-Sheet'!$K$6, TRUE, "")</f>
        <v/>
      </c>
    </row>
    <row r="39">
      <c r="A39" s="0">
        <f>_xlfn.IFS('Control-Sheet'!B22="OFF",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&lt;name&gt;"&amp;'Control-Sheet'!$K35&amp;"&lt;/name&gt;"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 s="0" t="inlineStr">
        <is>
          <t xml:space="preserve">        &lt;tx-array-carriers&gt;</t>
        </is>
      </c>
    </row>
    <row r="45">
      <c r="A45" s="20">
        <f>"          &lt;name&gt;"&amp;'Control-Sheet'!$K36&amp;"&lt;/name&gt;"</f>
        <v/>
      </c>
    </row>
    <row r="46">
      <c r="A46" s="0" t="inlineStr">
        <is>
          <t xml:space="preserve">          &lt;active&gt;ACTIVE&lt;/active&gt;</t>
        </is>
      </c>
      <c r="B46" s="20" t="n"/>
    </row>
    <row r="47">
      <c r="A47" s="0" t="inlineStr">
        <is>
          <t xml:space="preserve">        &lt;/tx-array-carriers&gt;</t>
        </is>
      </c>
    </row>
    <row r="48">
      <c r="A48" s="0">
        <f>_xlfn.IFS('Control-Sheet'!B22="OFF", 'Control-Sheet'!$K$6, TRUE, "")</f>
        <v/>
      </c>
    </row>
    <row r="49">
      <c r="A49" s="0">
        <f>_xlfn.IFS('Control-Sheet'!B19="OFF", 'Control-Sheet'!$K$5, TRUE, "")</f>
        <v/>
      </c>
    </row>
    <row r="50">
      <c r="A50" s="0" t="inlineStr">
        <is>
          <t xml:space="preserve">        &lt;rx-array-carriers&gt;</t>
        </is>
      </c>
    </row>
    <row r="51">
      <c r="A51" s="20">
        <f>"          &lt;name&gt;"&amp;'Control-Sheet'!$N42&amp;"&lt;/name&gt;"</f>
        <v/>
      </c>
    </row>
    <row r="52">
      <c r="A52" s="0" t="inlineStr">
        <is>
          <t xml:space="preserve">          &lt;active&gt;ACTIVE&lt;/active&gt;</t>
        </is>
      </c>
    </row>
    <row r="53">
      <c r="A53" s="0" t="inlineStr">
        <is>
          <t xml:space="preserve">        &lt;/rx-array-carriers&gt;</t>
        </is>
      </c>
    </row>
    <row r="54">
      <c r="A54" s="0" t="inlineStr">
        <is>
          <t xml:space="preserve">        &lt;rx-array-carriers&gt;</t>
        </is>
      </c>
    </row>
    <row r="55">
      <c r="A55" s="20">
        <f>"          &lt;name&gt;"&amp;'Control-Sheet'!$N43&amp;"&lt;/name&gt;"</f>
        <v/>
      </c>
    </row>
    <row r="56">
      <c r="A56" s="0" t="inlineStr">
        <is>
          <t xml:space="preserve">          &lt;active&gt;ACTIVE&lt;/active&gt;</t>
        </is>
      </c>
    </row>
    <row r="57">
      <c r="A57" s="0" t="inlineStr">
        <is>
          <t xml:space="preserve">        &lt;/rx-array-carriers&gt;</t>
        </is>
      </c>
    </row>
    <row r="58">
      <c r="A58" s="0">
        <f>_xlfn.IFS('Control-Sheet'!B19="OFF", 'Control-Sheet'!$K$6, TRUE, "")</f>
        <v/>
      </c>
    </row>
    <row r="59">
      <c r="A59" s="0">
        <f>_xlfn.IFS('Control-Sheet'!B20="OFF", 'Control-Sheet'!$K$5, TRUE, "")</f>
        <v/>
      </c>
    </row>
    <row r="60">
      <c r="A60" s="0" t="inlineStr">
        <is>
          <t xml:space="preserve">        &lt;rx-array-carriers&gt;</t>
        </is>
      </c>
    </row>
    <row r="61">
      <c r="A61" s="20">
        <f>"          &lt;name&gt;"&amp;'Control-Sheet'!$N44&amp;"&lt;/name&gt;"</f>
        <v/>
      </c>
    </row>
    <row r="62">
      <c r="A62" s="0" t="inlineStr">
        <is>
          <t xml:space="preserve">          &lt;active&gt;ACTIVE&lt;/active&gt;</t>
        </is>
      </c>
    </row>
    <row r="63">
      <c r="A63" s="0" t="inlineStr">
        <is>
          <t xml:space="preserve">        &lt;/rx-array-carriers&gt;</t>
        </is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&lt;name&gt;"&amp;'Control-Sheet'!$N45&amp;"&lt;/name&gt;"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 s="0">
        <f>_xlfn.IFS('Control-Sheet'!B20="OFF", 'Control-Sheet'!$K$6, TRUE, "")</f>
        <v/>
      </c>
    </row>
    <row r="69">
      <c r="A69" s="0">
        <f>_xlfn.IFS('Control-Sheet'!B21="OFF",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&lt;name&gt;"&amp;'Control-Sheet'!$N46&amp;"&lt;/name&gt;"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 s="0" t="inlineStr">
        <is>
          <t xml:space="preserve">        &lt;rx-array-carriers&gt;</t>
        </is>
      </c>
    </row>
    <row r="75">
      <c r="A75" s="20">
        <f>"          &lt;name&gt;"&amp;'Control-Sheet'!$N47&amp;"&lt;/name&gt;"</f>
        <v/>
      </c>
    </row>
    <row r="76">
      <c r="A76" s="0" t="inlineStr">
        <is>
          <t xml:space="preserve">          &lt;active&gt;ACTIVE&lt;/active&gt;</t>
        </is>
      </c>
    </row>
    <row r="77">
      <c r="A77" s="0" t="inlineStr">
        <is>
          <t xml:space="preserve">        &lt;/rx-array-carriers&gt;</t>
        </is>
      </c>
    </row>
    <row r="78">
      <c r="A78" s="0">
        <f>_xlfn.IFS('Control-Sheet'!B21="OFF", 'Control-Sheet'!$K$6, TRUE, "")</f>
        <v/>
      </c>
    </row>
    <row r="79">
      <c r="A79" s="0">
        <f>_xlfn.IFS('Control-Sheet'!B22="OFF", 'Control-Sheet'!$K$5, TRUE, "")</f>
        <v/>
      </c>
    </row>
    <row r="80">
      <c r="A80" s="0" t="inlineStr">
        <is>
          <t xml:space="preserve">        &lt;rx-array-carriers&gt;</t>
        </is>
      </c>
    </row>
    <row r="81">
      <c r="A81" s="20">
        <f>"          &lt;name&gt;"&amp;'Control-Sheet'!$N48&amp;"&lt;/name&gt;"</f>
        <v/>
      </c>
    </row>
    <row r="82">
      <c r="A82" s="0" t="inlineStr">
        <is>
          <t xml:space="preserve">          &lt;active&gt;ACTIVE&lt;/active&gt;</t>
        </is>
      </c>
    </row>
    <row r="83">
      <c r="A83" s="0" t="inlineStr">
        <is>
          <t xml:space="preserve">        &lt;/rx-array-carriers&gt;</t>
        </is>
      </c>
    </row>
    <row r="84">
      <c r="A84" s="0" t="inlineStr">
        <is>
          <t xml:space="preserve">        &lt;rx-array-carriers&gt;</t>
        </is>
      </c>
    </row>
    <row r="85">
      <c r="A85" s="20">
        <f>"          &lt;name&gt;"&amp;'Control-Sheet'!$N49&amp;"&lt;/name&gt;"</f>
        <v/>
      </c>
    </row>
    <row r="86">
      <c r="A86" s="0" t="inlineStr">
        <is>
          <t xml:space="preserve">          &lt;active&gt;ACTIVE&lt;/active&gt;</t>
        </is>
      </c>
    </row>
    <row r="87">
      <c r="A87" s="0" t="inlineStr">
        <is>
          <t xml:space="preserve">        &lt;/rx-array-carriers&gt;</t>
        </is>
      </c>
    </row>
    <row r="88">
      <c r="A88" s="0">
        <f>_xlfn.IFS('Control-Sheet'!B22="OFF", 'Control-Sheet'!$K$6, TRUE, "")</f>
        <v/>
      </c>
    </row>
    <row r="90">
      <c r="A90" s="0" t="inlineStr">
        <is>
          <t xml:space="preserve">      &lt;/user-plane-configuration&gt;</t>
        </is>
      </c>
    </row>
    <row r="91">
      <c r="A91" s="0" t="inlineStr">
        <is>
          <t xml:space="preserve">    &lt;/config&gt;</t>
        </is>
      </c>
    </row>
    <row r="92">
      <c r="A92" s="0" t="inlineStr">
        <is>
          <t xml:space="preserve">  &lt;/edit-config&gt;</t>
        </is>
      </c>
    </row>
    <row r="93">
      <c r="A93" s="0" t="inlineStr">
        <is>
          <t>&lt;/rpc&gt;</t>
        </is>
      </c>
    </row>
  </sheetData>
  <autoFilter ref="A1:A93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E6:K10"/>
  <sheetViews>
    <sheetView workbookViewId="0">
      <selection activeCell="N68" sqref="N68"/>
    </sheetView>
  </sheetViews>
  <sheetFormatPr baseColWidth="8" defaultRowHeight="13.5"/>
  <cols>
    <col width="19" customWidth="1" style="76" min="5" max="5"/>
    <col width="15.7109375" customWidth="1" style="76" min="6" max="11"/>
  </cols>
  <sheetData>
    <row r="6">
      <c r="E6" s="69" t="n"/>
      <c r="F6" s="69" t="inlineStr">
        <is>
          <t>Interface</t>
        </is>
      </c>
      <c r="G6" s="69" t="inlineStr">
        <is>
          <t>Band/Sector</t>
        </is>
      </c>
      <c r="H6" s="69" t="inlineStr">
        <is>
          <t>CC</t>
        </is>
      </c>
      <c r="I6" s="69" t="inlineStr">
        <is>
          <t>Spatial stream</t>
        </is>
      </c>
      <c r="J6" s="69" t="inlineStr">
        <is>
          <t>PUxCH&amp;PRACH</t>
        </is>
      </c>
      <c r="K6" s="77" t="n"/>
    </row>
    <row r="7">
      <c r="E7" s="69" t="inlineStr">
        <is>
          <t>low-level-tx-endpoint</t>
        </is>
      </c>
      <c r="F7" s="69" t="n">
        <v>0</v>
      </c>
      <c r="G7" s="69" t="n">
        <v>0</v>
      </c>
      <c r="H7" s="69" t="n">
        <v>0</v>
      </c>
      <c r="I7" s="69" t="n">
        <v>1</v>
      </c>
      <c r="J7" s="69" t="n">
        <v>0</v>
      </c>
      <c r="K7" s="69" t="n">
        <v>0</v>
      </c>
    </row>
    <row r="8">
      <c r="E8" s="80" t="n"/>
      <c r="F8" s="69" t="n">
        <v>0</v>
      </c>
      <c r="G8" s="69" t="n">
        <v>0</v>
      </c>
      <c r="H8" s="69" t="n">
        <v>1</v>
      </c>
      <c r="I8" s="69" t="n">
        <v>1</v>
      </c>
      <c r="J8" s="69" t="n">
        <v>0</v>
      </c>
      <c r="K8" s="69" t="n">
        <v>0</v>
      </c>
    </row>
    <row r="9">
      <c r="E9" s="69" t="inlineStr">
        <is>
          <t>low-level-rx-endpoint</t>
        </is>
      </c>
      <c r="F9" s="69" t="n"/>
      <c r="G9" s="69" t="n"/>
      <c r="H9" s="69" t="n"/>
      <c r="I9" s="69" t="n"/>
      <c r="J9" s="69" t="n"/>
      <c r="K9" s="69" t="n"/>
    </row>
    <row r="10">
      <c r="E10" s="80" t="n"/>
      <c r="F10" s="69" t="n"/>
      <c r="G10" s="69" t="n"/>
      <c r="H10" s="69" t="n"/>
      <c r="I10" s="69" t="n"/>
      <c r="J10" s="69" t="n"/>
      <c r="K10" s="69" t="n"/>
    </row>
  </sheetData>
  <mergeCells count="3">
    <mergeCell ref="J6:K6"/>
    <mergeCell ref="E7:E8"/>
    <mergeCell ref="E9:E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8:X71"/>
  <sheetViews>
    <sheetView topLeftCell="A40" zoomScale="115" zoomScaleNormal="115" workbookViewId="0">
      <selection activeCell="N41" sqref="A39:N41"/>
    </sheetView>
  </sheetViews>
  <sheetFormatPr baseColWidth="8" defaultColWidth="8.85546875" defaultRowHeight="13.5"/>
  <cols>
    <col width="8.85546875" customWidth="1" style="25" min="1" max="4"/>
    <col width="21.28515625" bestFit="1" customWidth="1" style="25" min="5" max="5"/>
    <col width="24" bestFit="1" customWidth="1" style="25" min="6" max="6"/>
    <col width="13.5703125" customWidth="1" style="25" min="7" max="7"/>
    <col width="14.5703125" customWidth="1" style="25" min="8" max="8"/>
    <col width="8.85546875" customWidth="1" style="25" min="9" max="12"/>
    <col width="11.140625" bestFit="1" customWidth="1" style="25" min="13" max="13"/>
    <col width="9.85546875" bestFit="1" customWidth="1" style="25" min="14" max="15"/>
    <col width="9.85546875" customWidth="1" style="25" min="16" max="16"/>
    <col width="12.7109375" customWidth="1" style="25" min="17" max="17"/>
    <col width="11.7109375" bestFit="1" customWidth="1" style="25" min="18" max="18"/>
    <col width="12.140625" bestFit="1" customWidth="1" style="25" min="19" max="19"/>
    <col width="14.28515625" bestFit="1" customWidth="1" style="25" min="20" max="20"/>
    <col width="11.85546875" bestFit="1" customWidth="1" style="25" min="21" max="21"/>
    <col width="8.85546875" customWidth="1" style="25" min="22" max="16384"/>
  </cols>
  <sheetData>
    <row r="35" customFormat="1" s="24"/>
    <row r="37" ht="14.25" customHeight="1" s="76" thickBot="1"/>
    <row r="38" customFormat="1" s="24">
      <c r="B38" s="26" t="n"/>
      <c r="C38" s="26" t="n"/>
      <c r="D38" s="26" t="n"/>
      <c r="E38" s="26" t="inlineStr">
        <is>
          <t>RSRP offset</t>
        </is>
      </c>
      <c r="F38" s="26" t="inlineStr">
        <is>
          <t>measured RSRP</t>
        </is>
      </c>
      <c r="G38" s="26" t="n"/>
      <c r="H38" s="26" t="inlineStr">
        <is>
          <t>RSRQ</t>
        </is>
      </c>
      <c r="I38" s="26" t="n"/>
      <c r="L38" s="27" t="n"/>
      <c r="M38" s="28" t="inlineStr">
        <is>
          <t>BW(kHz)</t>
        </is>
      </c>
      <c r="N38" s="28" t="inlineStr">
        <is>
          <t>symbols</t>
        </is>
      </c>
      <c r="O38" s="28" t="inlineStr">
        <is>
          <t>SCS</t>
        </is>
      </c>
      <c r="P38" s="28" t="inlineStr">
        <is>
          <t>No of RB</t>
        </is>
      </c>
      <c r="Q38" s="28" t="inlineStr">
        <is>
          <t>Effective BW</t>
        </is>
      </c>
      <c r="R38" s="29" t="inlineStr">
        <is>
          <t>%</t>
        </is>
      </c>
      <c r="S38" s="28" t="inlineStr">
        <is>
          <t>Guardband</t>
        </is>
      </c>
      <c r="T38" s="81" t="inlineStr">
        <is>
          <t>Eg to Eg</t>
        </is>
      </c>
      <c r="U38" s="68" t="n"/>
      <c r="V38" s="26" t="inlineStr">
        <is>
          <t>D filter</t>
        </is>
      </c>
      <c r="W38" s="77" t="n"/>
    </row>
    <row r="39">
      <c r="B39" s="32" t="inlineStr">
        <is>
          <t>BW</t>
        </is>
      </c>
      <c r="C39" s="32" t="inlineStr">
        <is>
          <t>SCS</t>
        </is>
      </c>
      <c r="D39" s="32" t="inlineStr">
        <is>
          <t>RB</t>
        </is>
      </c>
      <c r="E39" s="32" t="inlineStr">
        <is>
          <t>Referance power offset</t>
        </is>
      </c>
      <c r="F39" s="32" t="inlineStr">
        <is>
          <t>measured reference power</t>
        </is>
      </c>
      <c r="G39" s="32" t="inlineStr">
        <is>
          <t>RSSI</t>
        </is>
      </c>
      <c r="H39" s="32" t="n"/>
      <c r="I39" s="32" t="n"/>
      <c r="L39" s="65" t="inlineStr">
        <is>
          <t>NR</t>
        </is>
      </c>
      <c r="M39" s="82" t="n">
        <v>5000</v>
      </c>
      <c r="N39" s="82" t="n">
        <v>12</v>
      </c>
      <c r="O39" s="82" t="n">
        <v>15</v>
      </c>
      <c r="P39" s="82" t="n">
        <v>25</v>
      </c>
      <c r="Q39" s="82">
        <f>P39*O39*N39</f>
        <v/>
      </c>
      <c r="R39" s="34">
        <f>Q39/M39</f>
        <v/>
      </c>
      <c r="S39" s="83">
        <f>(M39-P39*O39*N39)/2-O39/2</f>
        <v/>
      </c>
      <c r="T39" s="84">
        <f>S39*2</f>
        <v/>
      </c>
      <c r="U39" s="37" t="inlineStr">
        <is>
          <t>-&gt;</t>
        </is>
      </c>
      <c r="V39" s="82" t="n">
        <v>450</v>
      </c>
      <c r="W39" s="85" t="inlineStr">
        <is>
          <t>?</t>
        </is>
      </c>
    </row>
    <row r="40">
      <c r="B40" s="32" t="n">
        <v>20</v>
      </c>
      <c r="C40" s="32" t="n">
        <v>30</v>
      </c>
      <c r="D40" s="32" t="n">
        <v>51</v>
      </c>
      <c r="E40" s="32">
        <f>10*LOG(12*D40)</f>
        <v/>
      </c>
      <c r="F40" s="32" t="n">
        <v>-15</v>
      </c>
      <c r="G40" s="32">
        <f>F40-(-E40)</f>
        <v/>
      </c>
      <c r="H40" s="32">
        <f>10*LOG(D40)+F40-G40</f>
        <v/>
      </c>
      <c r="I40" s="32" t="n"/>
      <c r="L40" s="86" t="n"/>
      <c r="M40" s="82">
        <f>M39</f>
        <v/>
      </c>
      <c r="N40" s="82" t="n">
        <v>12</v>
      </c>
      <c r="O40" s="82" t="n">
        <v>30</v>
      </c>
      <c r="P40" s="82" t="n">
        <v>11</v>
      </c>
      <c r="Q40" s="82">
        <f>P40*O40*N40</f>
        <v/>
      </c>
      <c r="R40" s="34">
        <f>Q40/M40</f>
        <v/>
      </c>
      <c r="S40" s="83">
        <f>(M40-P40*O40*N40)/2-O40/2</f>
        <v/>
      </c>
      <c r="T40" s="87">
        <f>S40*2</f>
        <v/>
      </c>
      <c r="U40" s="37" t="inlineStr">
        <is>
          <t>-&gt;</t>
        </is>
      </c>
      <c r="V40" s="82" t="n">
        <v>1000</v>
      </c>
      <c r="W40" s="88" t="inlineStr">
        <is>
          <t>?</t>
        </is>
      </c>
    </row>
    <row r="41">
      <c r="B41" s="32" t="n">
        <v>20</v>
      </c>
      <c r="C41" s="32" t="n">
        <v>15</v>
      </c>
      <c r="D41" s="32" t="n">
        <v>106</v>
      </c>
      <c r="E41" s="32">
        <f>10*LOG(12*D41)</f>
        <v/>
      </c>
      <c r="F41" s="32" t="n">
        <v>-15</v>
      </c>
      <c r="G41" s="32">
        <f>F41-(-E41)</f>
        <v/>
      </c>
      <c r="H41" s="32">
        <f>10*LOG(D41)+F41-G41</f>
        <v/>
      </c>
      <c r="I41" s="32" t="n"/>
      <c r="L41" s="65" t="inlineStr">
        <is>
          <t>LTE</t>
        </is>
      </c>
      <c r="M41" s="82">
        <f>M39</f>
        <v/>
      </c>
      <c r="N41" s="82" t="n">
        <v>12</v>
      </c>
      <c r="O41" s="82" t="n">
        <v>15</v>
      </c>
      <c r="P41" s="82" t="n">
        <v>25</v>
      </c>
      <c r="Q41" s="82">
        <f>P41*O41*N41</f>
        <v/>
      </c>
      <c r="R41" s="34">
        <f>Q41/M41</f>
        <v/>
      </c>
      <c r="S41" s="83">
        <f>(M41-P41*O41*N41)/2-O41/2</f>
        <v/>
      </c>
      <c r="T41" s="87">
        <f>S41*2</f>
        <v/>
      </c>
      <c r="U41" s="37" t="inlineStr">
        <is>
          <t>-&gt;</t>
        </is>
      </c>
      <c r="V41" s="82" t="n">
        <v>450</v>
      </c>
      <c r="W41" s="88" t="inlineStr">
        <is>
          <t>?</t>
        </is>
      </c>
    </row>
    <row r="42">
      <c r="B42" s="32" t="n"/>
      <c r="C42" s="32" t="n"/>
      <c r="D42" s="32" t="n"/>
      <c r="E42" s="32" t="n"/>
      <c r="F42" s="32" t="n"/>
      <c r="G42" s="32" t="n"/>
      <c r="H42" s="32" t="n"/>
      <c r="I42" s="32" t="n"/>
      <c r="L42" s="42" t="n"/>
      <c r="M42" s="32" t="n"/>
      <c r="N42" s="32" t="n"/>
      <c r="O42" s="32" t="n"/>
      <c r="P42" s="32" t="n"/>
      <c r="Q42" s="32" t="n"/>
      <c r="R42" s="32" t="n"/>
      <c r="S42" s="32" t="n"/>
      <c r="T42" s="43" t="n"/>
    </row>
    <row r="43">
      <c r="B43" s="32" t="n"/>
      <c r="C43" s="32" t="n">
        <v>84</v>
      </c>
      <c r="D43" s="32" t="n">
        <v>14</v>
      </c>
      <c r="E43" s="89">
        <f>C43/D43</f>
        <v/>
      </c>
      <c r="F43" s="32" t="n"/>
      <c r="G43" s="32" t="n"/>
      <c r="H43" s="32" t="n"/>
      <c r="I43" s="32" t="n"/>
      <c r="L43" s="65" t="inlineStr">
        <is>
          <t>NR</t>
        </is>
      </c>
      <c r="M43" s="82" t="n">
        <v>20000</v>
      </c>
      <c r="N43" s="82" t="n">
        <v>12</v>
      </c>
      <c r="O43" s="82" t="n">
        <v>15</v>
      </c>
      <c r="P43" s="82" t="n">
        <v>106</v>
      </c>
      <c r="Q43" s="82">
        <f>P43*O43*N43</f>
        <v/>
      </c>
      <c r="R43" s="34">
        <f>Q43/M43</f>
        <v/>
      </c>
      <c r="S43" s="83">
        <f>(M43-P43*O43*N43)/2-O43/2</f>
        <v/>
      </c>
      <c r="T43" s="84">
        <f>S43*2</f>
        <v/>
      </c>
      <c r="U43" s="37" t="inlineStr">
        <is>
          <t>-&gt;</t>
        </is>
      </c>
      <c r="V43" s="82" t="n">
        <v>900</v>
      </c>
      <c r="W43" s="85" t="inlineStr">
        <is>
          <t>?</t>
        </is>
      </c>
    </row>
    <row r="44">
      <c r="B44" s="32" t="n"/>
      <c r="C44" s="32" t="n"/>
      <c r="D44" s="32" t="n"/>
      <c r="E44" s="32" t="n"/>
      <c r="F44" s="32" t="n"/>
      <c r="G44" s="32" t="n"/>
      <c r="H44" s="32" t="n"/>
      <c r="I44" s="32" t="n"/>
      <c r="L44" s="86" t="n"/>
      <c r="M44" s="82">
        <f>M43</f>
        <v/>
      </c>
      <c r="N44" s="82" t="n">
        <v>12</v>
      </c>
      <c r="O44" s="82" t="n">
        <v>30</v>
      </c>
      <c r="P44" s="82" t="n">
        <v>51</v>
      </c>
      <c r="Q44" s="82">
        <f>P44*O44*N44</f>
        <v/>
      </c>
      <c r="R44" s="34">
        <f>Q44/M44</f>
        <v/>
      </c>
      <c r="S44" s="83">
        <f>(M44-P44*O44*N44)/2-O44/2</f>
        <v/>
      </c>
      <c r="T44" s="87">
        <f>S44*2</f>
        <v/>
      </c>
      <c r="U44" s="37" t="n"/>
      <c r="V44" s="82" t="n"/>
      <c r="W44" s="88" t="n"/>
    </row>
    <row r="45">
      <c r="B45" s="32" t="n">
        <v>100</v>
      </c>
      <c r="C45" s="32" t="n">
        <v>30</v>
      </c>
      <c r="D45" s="32" t="n">
        <v>273</v>
      </c>
      <c r="E45" s="32">
        <f>10*LOG(12*D45)</f>
        <v/>
      </c>
      <c r="F45" s="32" t="n">
        <v>-22.8</v>
      </c>
      <c r="G45" s="32">
        <f>F45-(-E45)</f>
        <v/>
      </c>
      <c r="H45" s="32">
        <f>10*LOG(D45)+F45-G45</f>
        <v/>
      </c>
      <c r="I45" s="32" t="n"/>
      <c r="L45" s="65" t="inlineStr">
        <is>
          <t>LTE</t>
        </is>
      </c>
      <c r="M45" s="82">
        <f>M43</f>
        <v/>
      </c>
      <c r="N45" s="82" t="n">
        <v>12</v>
      </c>
      <c r="O45" s="82" t="n">
        <v>15</v>
      </c>
      <c r="P45" s="82" t="n">
        <v>100</v>
      </c>
      <c r="Q45" s="82">
        <f>P45*O45*N45</f>
        <v/>
      </c>
      <c r="R45" s="34">
        <f>Q45/M45</f>
        <v/>
      </c>
      <c r="S45" s="83">
        <f>(M45-P45*O45*N45)/2-O45/2</f>
        <v/>
      </c>
      <c r="T45" s="87">
        <f>S45*2</f>
        <v/>
      </c>
      <c r="U45" s="37" t="n"/>
      <c r="V45" s="82" t="n"/>
      <c r="W45" s="88" t="n"/>
    </row>
    <row r="46">
      <c r="B46" s="32" t="n"/>
      <c r="C46" s="32" t="n"/>
      <c r="D46" s="45">
        <f>10^(E46/10)/12</f>
        <v/>
      </c>
      <c r="E46" s="32">
        <f>G46-F46</f>
        <v/>
      </c>
      <c r="F46" s="32" t="n">
        <v>-22.8</v>
      </c>
      <c r="G46" s="32" t="n">
        <v>0.31</v>
      </c>
      <c r="H46" s="32" t="n"/>
      <c r="I46" s="32" t="n"/>
      <c r="L46" s="65" t="n"/>
      <c r="M46" s="82" t="n"/>
      <c r="N46" s="82" t="n"/>
      <c r="O46" s="82" t="n"/>
      <c r="P46" s="82" t="n"/>
      <c r="Q46" s="82" t="n"/>
      <c r="R46" s="34" t="n"/>
      <c r="S46" s="83" t="n"/>
      <c r="T46" s="43" t="n"/>
      <c r="U46" s="46" t="n"/>
      <c r="V46" s="32" t="n"/>
      <c r="W46" s="82" t="n"/>
    </row>
    <row r="47">
      <c r="B47" s="32" t="n"/>
      <c r="C47" s="32" t="n"/>
      <c r="D47" s="32" t="n">
        <v>17</v>
      </c>
      <c r="E47" s="32">
        <f>10*LOG(12*D47)</f>
        <v/>
      </c>
      <c r="F47" s="32" t="n">
        <v>-22.87</v>
      </c>
      <c r="G47" s="32">
        <f>E47+F47-H47</f>
        <v/>
      </c>
      <c r="H47" s="32" t="n">
        <v>-10.167</v>
      </c>
      <c r="I47" s="32">
        <f>G47-F47-H47</f>
        <v/>
      </c>
      <c r="L47" s="65" t="inlineStr">
        <is>
          <t>NR</t>
        </is>
      </c>
      <c r="M47" s="82" t="n">
        <v>40000</v>
      </c>
      <c r="N47" s="82" t="n">
        <v>12</v>
      </c>
      <c r="O47" s="82" t="n">
        <v>15</v>
      </c>
      <c r="P47" s="82" t="n">
        <v>216</v>
      </c>
      <c r="Q47" s="82">
        <f>P47*O47*N47</f>
        <v/>
      </c>
      <c r="R47" s="34">
        <f>Q47/M47</f>
        <v/>
      </c>
      <c r="S47" s="83">
        <f>(M47-P47*O47*N47)/2-O47/2</f>
        <v/>
      </c>
      <c r="T47" s="84">
        <f>S47*2</f>
        <v/>
      </c>
      <c r="U47" s="37" t="inlineStr">
        <is>
          <t>-&gt;</t>
        </is>
      </c>
      <c r="V47" s="82">
        <f>ROUND(T47,0.001)</f>
        <v/>
      </c>
      <c r="W47" s="85" t="inlineStr">
        <is>
          <t>?</t>
        </is>
      </c>
    </row>
    <row r="48">
      <c r="B48" s="32" t="n"/>
      <c r="C48" s="32" t="n"/>
      <c r="D48" s="32" t="n"/>
      <c r="E48" s="32" t="n"/>
      <c r="F48" s="32" t="n"/>
      <c r="G48" s="32" t="n"/>
      <c r="H48" s="32" t="n"/>
      <c r="I48" s="32" t="n"/>
      <c r="L48" s="86" t="n"/>
      <c r="M48" s="82">
        <f>M47</f>
        <v/>
      </c>
      <c r="N48" s="82" t="n">
        <v>12</v>
      </c>
      <c r="O48" s="82" t="n">
        <v>30</v>
      </c>
      <c r="P48" s="82" t="n">
        <v>106</v>
      </c>
      <c r="Q48" s="82">
        <f>P48*O48*N48</f>
        <v/>
      </c>
      <c r="R48" s="34">
        <f>Q48/M48</f>
        <v/>
      </c>
      <c r="S48" s="83">
        <f>(M48-P48*O48*N48)/2-O48/2</f>
        <v/>
      </c>
      <c r="T48" s="87">
        <f>S48*2</f>
        <v/>
      </c>
      <c r="U48" s="37" t="n"/>
      <c r="V48" s="82" t="n"/>
      <c r="W48" s="88" t="n"/>
    </row>
    <row r="49">
      <c r="B49" s="32" t="n"/>
      <c r="C49" s="32" t="n"/>
      <c r="D49" s="32" t="inlineStr">
        <is>
          <t>S-SS RB수</t>
        </is>
      </c>
      <c r="E49" s="32" t="n"/>
      <c r="F49" s="32" t="n"/>
      <c r="G49" s="32" t="n"/>
      <c r="H49" s="32" t="n"/>
      <c r="I49" s="32" t="n"/>
      <c r="L49" s="47" t="n"/>
      <c r="T49" s="48" t="n"/>
      <c r="V49" s="82" t="n"/>
      <c r="W49" s="90" t="n"/>
    </row>
    <row r="50" ht="14.25" customHeight="1" s="76" thickBot="1">
      <c r="B50" s="32" t="n">
        <v>100</v>
      </c>
      <c r="C50" s="32" t="n">
        <v>30</v>
      </c>
      <c r="D50" s="32" t="n">
        <v>20</v>
      </c>
      <c r="E50" s="32">
        <f>10*LOG(12*D50)</f>
        <v/>
      </c>
      <c r="F50" s="32" t="n">
        <v>-22.87</v>
      </c>
      <c r="G50" s="32">
        <f>F50-(-E50)</f>
        <v/>
      </c>
      <c r="H50" s="32">
        <f>10*LOG(D50)+F50-G50</f>
        <v/>
      </c>
      <c r="I50" s="32" t="n"/>
      <c r="L50" s="50" t="inlineStr">
        <is>
          <t>NR</t>
        </is>
      </c>
      <c r="M50" s="91" t="n">
        <v>100000</v>
      </c>
      <c r="N50" s="91" t="n">
        <v>12</v>
      </c>
      <c r="O50" s="91" t="n">
        <v>30</v>
      </c>
      <c r="P50" s="91" t="n">
        <v>273</v>
      </c>
      <c r="Q50" s="91">
        <f>P50*O50*N50</f>
        <v/>
      </c>
      <c r="R50" s="52">
        <f>Q50/M50</f>
        <v/>
      </c>
      <c r="S50" s="92">
        <f>(M50-P50*O50*N50)/2-O50/2</f>
        <v/>
      </c>
      <c r="T50" s="93">
        <f>S50*2</f>
        <v/>
      </c>
      <c r="U50" s="37" t="inlineStr">
        <is>
          <t>-&gt;</t>
        </is>
      </c>
      <c r="V50" s="82" t="n">
        <v>1400</v>
      </c>
      <c r="W50" s="85" t="n">
        <v>60</v>
      </c>
    </row>
    <row r="51">
      <c r="B51" s="32" t="n"/>
      <c r="C51" s="32" t="n"/>
      <c r="D51" s="32" t="n"/>
      <c r="E51" s="32" t="n"/>
      <c r="F51" s="32" t="n"/>
      <c r="G51" s="32" t="n"/>
      <c r="H51" s="32" t="n"/>
      <c r="I51" s="32" t="n"/>
      <c r="V51" s="82" t="n">
        <v>900</v>
      </c>
      <c r="W51" s="85" t="n">
        <v>17</v>
      </c>
    </row>
    <row r="52">
      <c r="V52" s="82" t="n">
        <v>400</v>
      </c>
      <c r="W52" s="85" t="n">
        <v>3</v>
      </c>
    </row>
    <row r="54" ht="14.25" customHeight="1" s="76" thickBot="1"/>
    <row r="55">
      <c r="L55" s="27" t="n"/>
      <c r="M55" s="28" t="inlineStr">
        <is>
          <t>BW(kHz)</t>
        </is>
      </c>
      <c r="N55" s="28" t="inlineStr">
        <is>
          <t>symbols</t>
        </is>
      </c>
      <c r="O55" s="28" t="inlineStr">
        <is>
          <t>SCS</t>
        </is>
      </c>
      <c r="P55" s="28" t="inlineStr">
        <is>
          <t>No of RB</t>
        </is>
      </c>
      <c r="Q55" s="28" t="inlineStr">
        <is>
          <t>Effective BW</t>
        </is>
      </c>
      <c r="R55" s="29" t="inlineStr">
        <is>
          <t>%</t>
        </is>
      </c>
      <c r="S55" s="28" t="inlineStr">
        <is>
          <t>Guardband</t>
        </is>
      </c>
      <c r="T55" s="81" t="inlineStr">
        <is>
          <t>Eg to Eg</t>
        </is>
      </c>
    </row>
    <row r="56">
      <c r="L56" s="65" t="inlineStr">
        <is>
          <t>NR</t>
        </is>
      </c>
      <c r="M56" s="82" t="n">
        <v>5000</v>
      </c>
      <c r="N56" s="82" t="n">
        <v>12</v>
      </c>
      <c r="O56" s="82" t="n">
        <v>15</v>
      </c>
      <c r="P56" s="82" t="n">
        <v>25</v>
      </c>
      <c r="Q56" s="82">
        <f>P56*O56*N56</f>
        <v/>
      </c>
      <c r="R56" s="34">
        <f>Q56/M56</f>
        <v/>
      </c>
      <c r="S56" s="83">
        <f>(M56-P56*O56*N56)/2-O56/2</f>
        <v/>
      </c>
      <c r="T56" s="84">
        <f>S56*2</f>
        <v/>
      </c>
    </row>
    <row r="57">
      <c r="L57" s="86" t="n"/>
      <c r="M57" s="82">
        <f>M56</f>
        <v/>
      </c>
      <c r="N57" s="82" t="n">
        <v>12</v>
      </c>
      <c r="O57" s="82" t="n">
        <v>30</v>
      </c>
      <c r="P57" s="82" t="n">
        <v>11</v>
      </c>
      <c r="Q57" s="82">
        <f>P57*O57*N57</f>
        <v/>
      </c>
      <c r="R57" s="34">
        <f>Q57/M57</f>
        <v/>
      </c>
      <c r="S57" s="83">
        <f>(M57-P57*O57*N57)/2-O57/2</f>
        <v/>
      </c>
      <c r="T57" s="87">
        <f>S57*2</f>
        <v/>
      </c>
    </row>
    <row r="58">
      <c r="L58" s="65" t="inlineStr">
        <is>
          <t>LTE</t>
        </is>
      </c>
      <c r="M58" s="82">
        <f>M56</f>
        <v/>
      </c>
      <c r="N58" s="82" t="n">
        <v>12</v>
      </c>
      <c r="O58" s="82" t="n">
        <v>15</v>
      </c>
      <c r="P58" s="82" t="n">
        <v>25</v>
      </c>
      <c r="Q58" s="82">
        <f>P58*O58*N58</f>
        <v/>
      </c>
      <c r="R58" s="34">
        <f>Q58/M58</f>
        <v/>
      </c>
      <c r="S58" s="83">
        <f>(M58-P58*O58*N58)/2-O58/2</f>
        <v/>
      </c>
      <c r="T58" s="87">
        <f>S58*2</f>
        <v/>
      </c>
    </row>
    <row r="59">
      <c r="L59" s="42" t="n"/>
      <c r="M59" s="32" t="n"/>
      <c r="N59" s="32" t="n"/>
      <c r="O59" s="32" t="n"/>
      <c r="P59" s="32" t="n"/>
      <c r="Q59" s="32" t="n"/>
      <c r="R59" s="32" t="n"/>
      <c r="S59" s="32" t="n"/>
      <c r="T59" s="43" t="n"/>
    </row>
    <row r="60">
      <c r="L60" s="65" t="inlineStr">
        <is>
          <t>NR</t>
        </is>
      </c>
      <c r="M60" s="82" t="n">
        <v>10000</v>
      </c>
      <c r="N60" s="82" t="n">
        <v>12</v>
      </c>
      <c r="O60" s="82" t="n">
        <v>15</v>
      </c>
      <c r="P60" s="82" t="n">
        <v>52</v>
      </c>
      <c r="Q60" s="82">
        <f>P60*O60*N60</f>
        <v/>
      </c>
      <c r="R60" s="34">
        <f>Q60/M60</f>
        <v/>
      </c>
      <c r="S60" s="83">
        <f>(M60-P60*O60*N60)/2-O60/2</f>
        <v/>
      </c>
      <c r="T60" s="84">
        <f>S60*2</f>
        <v/>
      </c>
    </row>
    <row r="61">
      <c r="L61" s="86" t="n"/>
      <c r="M61" s="82">
        <f>M60</f>
        <v/>
      </c>
      <c r="N61" s="82" t="n">
        <v>12</v>
      </c>
      <c r="O61" s="82" t="n">
        <v>30</v>
      </c>
      <c r="P61" s="82" t="n">
        <v>24</v>
      </c>
      <c r="Q61" s="82">
        <f>P61*O61*N61</f>
        <v/>
      </c>
      <c r="R61" s="34">
        <f>Q61/M61</f>
        <v/>
      </c>
      <c r="S61" s="83">
        <f>(M61-P61*O61*N61)/2-O61/2</f>
        <v/>
      </c>
      <c r="T61" s="87">
        <f>S61*2</f>
        <v/>
      </c>
    </row>
    <row r="62">
      <c r="L62" s="65" t="inlineStr">
        <is>
          <t>LTE</t>
        </is>
      </c>
      <c r="M62" s="82">
        <f>M60</f>
        <v/>
      </c>
      <c r="N62" s="82" t="n">
        <v>12</v>
      </c>
      <c r="O62" s="82" t="n">
        <v>15</v>
      </c>
      <c r="P62" s="82" t="n">
        <v>50</v>
      </c>
      <c r="Q62" s="82">
        <f>P62*O62*N62</f>
        <v/>
      </c>
      <c r="R62" s="34">
        <f>Q62/M62</f>
        <v/>
      </c>
      <c r="S62" s="83">
        <f>(M62-P62*O62*N62)/2-O62/2</f>
        <v/>
      </c>
      <c r="T62" s="87">
        <f>S62*2</f>
        <v/>
      </c>
    </row>
    <row r="63">
      <c r="L63" s="65" t="n"/>
      <c r="M63" s="82" t="n"/>
      <c r="N63" s="82" t="n"/>
      <c r="O63" s="82" t="n"/>
      <c r="P63" s="82" t="n"/>
      <c r="Q63" s="82" t="n"/>
      <c r="R63" s="34" t="n"/>
      <c r="S63" s="83" t="n"/>
      <c r="T63" s="43" t="n"/>
    </row>
    <row r="64">
      <c r="L64" s="65" t="inlineStr">
        <is>
          <t>NR</t>
        </is>
      </c>
      <c r="M64" s="82" t="n">
        <v>20000</v>
      </c>
      <c r="N64" s="82" t="n">
        <v>12</v>
      </c>
      <c r="O64" s="82" t="n">
        <v>15</v>
      </c>
      <c r="P64" s="82" t="n">
        <v>106</v>
      </c>
      <c r="Q64" s="82">
        <f>P64*O64*N64</f>
        <v/>
      </c>
      <c r="R64" s="34">
        <f>Q64/M64</f>
        <v/>
      </c>
      <c r="S64" s="83">
        <f>(M64-P64*O64*N64)/2-O64/2</f>
        <v/>
      </c>
      <c r="T64" s="84">
        <f>S64*2</f>
        <v/>
      </c>
      <c r="V64" s="32" t="n"/>
      <c r="W64" s="32" t="inlineStr">
        <is>
          <t>@</t>
        </is>
      </c>
      <c r="X64" s="32" t="inlineStr">
        <is>
          <t>ATTEN</t>
        </is>
      </c>
    </row>
    <row r="65">
      <c r="L65" s="86" t="n"/>
      <c r="M65" s="82">
        <f>M64</f>
        <v/>
      </c>
      <c r="N65" s="82" t="n">
        <v>12</v>
      </c>
      <c r="O65" s="82" t="n">
        <v>30</v>
      </c>
      <c r="P65" s="82" t="n">
        <v>51</v>
      </c>
      <c r="Q65" s="82">
        <f>P65*O65*N65</f>
        <v/>
      </c>
      <c r="R65" s="34">
        <f>Q65/M65</f>
        <v/>
      </c>
      <c r="S65" s="83">
        <f>(M65-P65*O65*N65)/2-O65/2</f>
        <v/>
      </c>
      <c r="T65" s="87">
        <f>S65*2</f>
        <v/>
      </c>
      <c r="V65" s="66" t="inlineStr">
        <is>
          <t>windowing filter</t>
        </is>
      </c>
      <c r="W65" s="82" t="n">
        <v>400</v>
      </c>
      <c r="X65" s="85" t="n">
        <v>3</v>
      </c>
    </row>
    <row r="66">
      <c r="L66" s="65" t="inlineStr">
        <is>
          <t>LTE</t>
        </is>
      </c>
      <c r="M66" s="82">
        <f>M64</f>
        <v/>
      </c>
      <c r="N66" s="82" t="n">
        <v>12</v>
      </c>
      <c r="O66" s="82" t="n">
        <v>15</v>
      </c>
      <c r="P66" s="82" t="n">
        <v>100</v>
      </c>
      <c r="Q66" s="82">
        <f>P66*O66*N66</f>
        <v/>
      </c>
      <c r="R66" s="34">
        <f>Q66/M66</f>
        <v/>
      </c>
      <c r="S66" s="83">
        <f>(M66-P66*O66*N66)/2-O66/2</f>
        <v/>
      </c>
      <c r="T66" s="87">
        <f>S66*2</f>
        <v/>
      </c>
      <c r="V66" s="79" t="n"/>
      <c r="W66" s="82" t="n">
        <v>900</v>
      </c>
      <c r="X66" s="85" t="n">
        <v>17</v>
      </c>
    </row>
    <row r="67">
      <c r="L67" s="65" t="n"/>
      <c r="M67" s="82" t="n"/>
      <c r="N67" s="82" t="n"/>
      <c r="O67" s="82" t="n"/>
      <c r="P67" s="82" t="n"/>
      <c r="Q67" s="82" t="n"/>
      <c r="R67" s="34" t="n"/>
      <c r="S67" s="83" t="n"/>
      <c r="T67" s="43" t="n"/>
      <c r="V67" s="80" t="n"/>
      <c r="W67" s="82" t="n">
        <v>1400</v>
      </c>
      <c r="X67" s="85" t="n">
        <v>60</v>
      </c>
    </row>
    <row r="68">
      <c r="L68" s="65" t="inlineStr">
        <is>
          <t>NR</t>
        </is>
      </c>
      <c r="M68" s="82" t="n">
        <v>40000</v>
      </c>
      <c r="N68" s="82" t="n">
        <v>12</v>
      </c>
      <c r="O68" s="82" t="n">
        <v>15</v>
      </c>
      <c r="P68" s="82" t="n">
        <v>216</v>
      </c>
      <c r="Q68" s="82">
        <f>P68*O68*N68</f>
        <v/>
      </c>
      <c r="R68" s="34">
        <f>Q68/M68</f>
        <v/>
      </c>
      <c r="S68" s="83">
        <f>(M68-P68*O68*N68)/2-O68/2</f>
        <v/>
      </c>
      <c r="T68" s="84">
        <f>S68*2</f>
        <v/>
      </c>
    </row>
    <row r="69">
      <c r="L69" s="65" t="n"/>
      <c r="M69" s="82">
        <f>M68</f>
        <v/>
      </c>
      <c r="N69" s="82" t="n">
        <v>12</v>
      </c>
      <c r="O69" s="82" t="n">
        <v>30</v>
      </c>
      <c r="P69" s="82" t="n">
        <v>106</v>
      </c>
      <c r="Q69" s="82">
        <f>P69*O69*N69</f>
        <v/>
      </c>
      <c r="R69" s="34">
        <f>Q69/M69</f>
        <v/>
      </c>
      <c r="S69" s="83">
        <f>(M69-P69*O69*N69)/2-O69/2</f>
        <v/>
      </c>
      <c r="T69" s="87">
        <f>S69*2</f>
        <v/>
      </c>
    </row>
    <row r="70">
      <c r="L70" s="47" t="n"/>
      <c r="T70" s="48" t="n"/>
    </row>
    <row r="71" ht="14.25" customHeight="1" s="76" thickBot="1">
      <c r="L71" s="50" t="inlineStr">
        <is>
          <t>NR</t>
        </is>
      </c>
      <c r="M71" s="91" t="n">
        <v>100000</v>
      </c>
      <c r="N71" s="91" t="n">
        <v>12</v>
      </c>
      <c r="O71" s="91" t="n">
        <v>30</v>
      </c>
      <c r="P71" s="91" t="n">
        <v>273</v>
      </c>
      <c r="Q71" s="91">
        <f>P71*O71*N71</f>
        <v/>
      </c>
      <c r="R71" s="52">
        <f>Q71/M71</f>
        <v/>
      </c>
      <c r="S71" s="92">
        <f>(M71-P71*O71*N71)/2-O71/2</f>
        <v/>
      </c>
      <c r="T71" s="93">
        <f>S71*2</f>
        <v/>
      </c>
    </row>
  </sheetData>
  <mergeCells count="8">
    <mergeCell ref="L60:L61"/>
    <mergeCell ref="L64:L65"/>
    <mergeCell ref="L56:L57"/>
    <mergeCell ref="L47:L48"/>
    <mergeCell ref="V38:W38"/>
    <mergeCell ref="V65:V67"/>
    <mergeCell ref="L39:L40"/>
    <mergeCell ref="L43:L4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2026-05-08T07:53:31Z</dcterms:modified>
  <cp:lastModifiedBy>김경민(시스템스)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0x0101001D8C8101D2BD934AA719E62FA84EAD9E</vt:lpwstr>
  </property>
  <property name="MediaServiceImageTags" fmtid="{D5CDD505-2E9C-101B-9397-08002B2CF9AE}" pid="3">
    <vt:lpwstr xmlns:vt="http://schemas.openxmlformats.org/officeDocument/2006/docPropsVTypes"/>
  </property>
</Properties>
</file>