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820" yWindow="7140" windowWidth="33945" windowHeight="18885" tabRatio="600" firstSheet="0" activeTab="0" autoFilterDateGrouping="1"/>
  </bookViews>
  <sheets>
    <sheet name="Control-Sheet" sheetId="1" state="visible" r:id="rId1"/>
    <sheet name="CUplane-interface" sheetId="2" state="visible" r:id="rId2"/>
    <sheet name="Processing-element" sheetId="3" state="visible" r:id="rId3"/>
    <sheet name="PDSCH" sheetId="4" state="visible" r:id="rId4"/>
    <sheet name="PUSCH" sheetId="5" state="visible" r:id="rId5"/>
    <sheet name="PRACH" sheetId="6" state="visible" r:id="rId6"/>
    <sheet name="ACTIVE" sheetId="7" state="visible" r:id="rId7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</cellXfs>
  <cellStyles count="4">
    <cellStyle name="표준" xfId="0" builtinId="0"/>
    <cellStyle name="표준 2" xfId="1"/>
    <cellStyle name="백분율 2" xfId="2"/>
    <cellStyle name="쉼표 [0] 2" xfId="3"/>
  </cellStyles>
  <dxfs count="8"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abSelected="1" zoomScale="85" zoomScaleNormal="85" workbookViewId="0">
      <selection activeCell="K39" sqref="K39"/>
    </sheetView>
  </sheetViews>
  <sheetFormatPr baseColWidth="8" defaultRowHeight="13.5"/>
  <cols>
    <col width="14.28515625" customWidth="1" style="29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29" min="20" max="20"/>
  </cols>
  <sheetData>
    <row r="1"/>
    <row r="2"/>
    <row r="3">
      <c r="B3" s="0" t="inlineStr">
        <is>
          <t>1. Cuplane-interface</t>
        </is>
      </c>
      <c r="N3" s="31" t="n"/>
      <c r="O3" s="31" t="inlineStr">
        <is>
          <t>NR</t>
        </is>
      </c>
      <c r="P3" s="32" t="n"/>
      <c r="Q3" s="31" t="inlineStr">
        <is>
          <t>LTE</t>
        </is>
      </c>
    </row>
    <row r="4">
      <c r="G4" s="31" t="inlineStr">
        <is>
          <t>삭제 금지</t>
        </is>
      </c>
      <c r="H4" s="34" t="n"/>
      <c r="I4" s="34" t="n"/>
      <c r="J4" s="34" t="n"/>
      <c r="K4" s="32" t="n"/>
      <c r="N4" s="26" t="inlineStr">
        <is>
          <t>BW</t>
        </is>
      </c>
      <c r="O4" s="31" t="inlineStr">
        <is>
          <t>KHZ_15</t>
        </is>
      </c>
      <c r="P4" s="31" t="inlineStr">
        <is>
          <t>KHZ_30</t>
        </is>
      </c>
      <c r="Q4" s="31" t="inlineStr">
        <is>
          <t>KHZ_15</t>
        </is>
      </c>
    </row>
    <row r="5">
      <c r="C5" s="31" t="inlineStr">
        <is>
          <t>name</t>
        </is>
      </c>
      <c r="D5" s="13" t="inlineStr">
        <is>
          <t>1000</t>
        </is>
      </c>
      <c r="E5" s="10" t="inlineStr">
        <is>
          <t>VLAN NAME</t>
        </is>
      </c>
      <c r="G5" s="31" t="inlineStr">
        <is>
          <t xml:space="preserve">            &lt;exponent&gt;4&lt;/exponent&gt;</t>
        </is>
      </c>
      <c r="H5" s="31" t="n"/>
      <c r="I5" s="31" t="n"/>
      <c r="J5" s="31" t="n"/>
      <c r="K5" s="31" t="inlineStr">
        <is>
          <t>&lt;!--</t>
        </is>
      </c>
      <c r="N5" s="26" t="n">
        <v>5</v>
      </c>
      <c r="O5" s="31" t="n">
        <v>25</v>
      </c>
      <c r="P5" s="31" t="n">
        <v>11</v>
      </c>
      <c r="Q5" s="31" t="n">
        <v>25</v>
      </c>
    </row>
    <row r="6">
      <c r="C6" s="3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31" t="n"/>
      <c r="I6" s="31" t="n"/>
      <c r="J6" s="31" t="n"/>
      <c r="K6" s="31" t="inlineStr">
        <is>
          <t>--&gt;</t>
        </is>
      </c>
      <c r="N6" s="31" t="n">
        <v>10</v>
      </c>
      <c r="O6" s="31" t="n">
        <v>52</v>
      </c>
      <c r="P6" s="31" t="n">
        <v>24</v>
      </c>
      <c r="Q6" s="31" t="n">
        <v>50</v>
      </c>
    </row>
    <row r="7">
      <c r="C7" s="31" t="inlineStr">
        <is>
          <t>vlan id</t>
        </is>
      </c>
      <c r="D7" s="13" t="inlineStr">
        <is>
          <t>1000</t>
        </is>
      </c>
      <c r="E7" s="21" t="n"/>
      <c r="N7" s="31" t="n">
        <v>15</v>
      </c>
      <c r="O7" s="31" t="n">
        <v>79</v>
      </c>
      <c r="P7" s="31" t="n">
        <v>38</v>
      </c>
      <c r="Q7" s="31" t="n">
        <v>75</v>
      </c>
    </row>
    <row r="8">
      <c r="C8" s="31" t="inlineStr">
        <is>
          <t>ORU mac-address</t>
        </is>
      </c>
      <c r="D8" s="13" t="inlineStr">
        <is>
          <t>dc:c1:01:0a:0b:0c</t>
        </is>
      </c>
      <c r="E8" s="10" t="inlineStr">
        <is>
          <t>nDLPU MAC</t>
        </is>
      </c>
      <c r="N8" s="31" t="n">
        <v>20</v>
      </c>
      <c r="O8" s="31" t="n">
        <v>106</v>
      </c>
      <c r="P8" s="31" t="n">
        <v>51</v>
      </c>
      <c r="Q8" s="31" t="n">
        <v>100</v>
      </c>
    </row>
    <row r="9">
      <c r="N9" s="31" t="n">
        <v>25</v>
      </c>
      <c r="O9" s="31" t="n">
        <v>216</v>
      </c>
      <c r="P9" s="31" t="n">
        <v>65</v>
      </c>
      <c r="Q9" s="31" t="n"/>
    </row>
    <row r="10">
      <c r="N10" s="31" t="n">
        <v>30</v>
      </c>
      <c r="O10" s="31" t="n">
        <v>270</v>
      </c>
      <c r="P10" s="31" t="n">
        <v>78</v>
      </c>
      <c r="Q10" s="31" t="n"/>
    </row>
    <row r="11">
      <c r="B11" s="0" t="inlineStr">
        <is>
          <t>2. Processing element</t>
        </is>
      </c>
      <c r="N11" s="31" t="n">
        <v>40</v>
      </c>
      <c r="O11" s="31" t="n"/>
      <c r="P11" s="31" t="n">
        <v>106</v>
      </c>
      <c r="Q11" s="31" t="n"/>
    </row>
    <row r="12">
      <c r="N12" s="31" t="n">
        <v>50</v>
      </c>
      <c r="O12" s="31" t="n"/>
      <c r="P12" s="31" t="n">
        <v>133</v>
      </c>
      <c r="Q12" s="31" t="n"/>
    </row>
    <row r="13">
      <c r="C13" s="3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31" t="n">
        <v>60</v>
      </c>
      <c r="O13" s="31" t="n"/>
      <c r="P13" s="31" t="n">
        <v>162</v>
      </c>
      <c r="Q13" s="31" t="n"/>
    </row>
    <row r="14" ht="27" customHeight="1" s="29">
      <c r="C14" s="31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31" t="n">
        <v>80</v>
      </c>
      <c r="O14" s="31" t="n"/>
      <c r="P14" s="31" t="n">
        <v>217</v>
      </c>
      <c r="Q14" s="31" t="n"/>
    </row>
    <row r="15">
      <c r="N15" s="31" t="n">
        <v>90</v>
      </c>
      <c r="O15" s="31" t="n"/>
      <c r="P15" s="31" t="n">
        <v>245</v>
      </c>
      <c r="Q15" s="31" t="n"/>
    </row>
    <row r="16">
      <c r="B16" s="0" t="n"/>
      <c r="N16" s="31" t="n">
        <v>100</v>
      </c>
      <c r="O16" s="31" t="n"/>
      <c r="P16" s="31" t="n">
        <v>273</v>
      </c>
      <c r="Q16" s="31" t="n"/>
    </row>
    <row r="17">
      <c r="B17" s="10" t="n"/>
      <c r="G17" s="28" t="n"/>
      <c r="H17" s="28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3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33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A23" s="30" t="inlineStr">
        <is>
          <t>ON</t>
        </is>
      </c>
      <c r="B23" s="31" t="inlineStr">
        <is>
          <t>C0</t>
        </is>
      </c>
      <c r="C23" s="31" t="inlineStr">
        <is>
          <t>llte_0_0_0_1_0_0</t>
        </is>
      </c>
      <c r="D23" s="31" t="inlineStr">
        <is>
          <t>KHZ_15</t>
        </is>
      </c>
      <c r="E23" s="31" t="inlineStr">
        <is>
          <t>106</t>
        </is>
      </c>
      <c r="F23" s="13" t="inlineStr">
        <is>
          <t>2</t>
        </is>
      </c>
      <c r="G23" s="31" t="inlineStr">
        <is>
          <t>llte_0_0_0_1_0_0</t>
        </is>
      </c>
      <c r="H23" s="31" t="inlineStr">
        <is>
          <t>ru-pe.0</t>
        </is>
      </c>
      <c r="I23" s="31" t="inlineStr">
        <is>
          <t>tac_0_0_0_1</t>
        </is>
      </c>
      <c r="J23" s="31" t="inlineStr">
        <is>
          <t>llte_0_0_0_1_0_0</t>
        </is>
      </c>
      <c r="K23" s="31" t="inlineStr">
        <is>
          <t>tac_0_0_0_1</t>
        </is>
      </c>
      <c r="L23" s="31" t="inlineStr">
        <is>
          <t>9</t>
        </is>
      </c>
      <c r="M23" s="31" t="inlineStr">
        <is>
          <t>BFP</t>
        </is>
      </c>
      <c r="N23" s="31" t="inlineStr">
        <is>
          <t>2160</t>
        </is>
      </c>
      <c r="O23" s="31" t="inlineStr">
        <is>
          <t>20</t>
        </is>
      </c>
      <c r="P23" s="31" t="inlineStr">
        <is>
          <t>NR</t>
        </is>
      </c>
      <c r="Q23" s="31" t="inlineStr">
        <is>
          <t>23</t>
        </is>
      </c>
      <c r="R23" s="31" t="inlineStr">
        <is>
          <t>19646</t>
        </is>
      </c>
      <c r="S23" s="0" t="inlineStr"/>
      <c r="T23" s="0" t="n">
        <v>6.8</v>
      </c>
      <c r="V23" s="10">
        <f>DEC2HEX(F23)</f>
        <v/>
      </c>
      <c r="W23" s="0" t="n">
        <v>7</v>
      </c>
    </row>
    <row r="24">
      <c r="A24" s="30" t="inlineStr">
        <is>
          <t>ON</t>
        </is>
      </c>
      <c r="B24" s="31" t="inlineStr">
        <is>
          <t>C1</t>
        </is>
      </c>
      <c r="C24" s="31" t="inlineStr">
        <is>
          <t>llte_0_0_1_1_0_0</t>
        </is>
      </c>
      <c r="D24" s="31" t="inlineStr">
        <is>
          <t>KHZ_15</t>
        </is>
      </c>
      <c r="E24" s="31" t="inlineStr">
        <is>
          <t>106</t>
        </is>
      </c>
      <c r="F24" s="13" t="inlineStr">
        <is>
          <t>3</t>
        </is>
      </c>
      <c r="G24" s="31" t="inlineStr">
        <is>
          <t>llte_0_0_1_1_0_0</t>
        </is>
      </c>
      <c r="H24" s="31" t="inlineStr">
        <is>
          <t>ru-pe.0</t>
        </is>
      </c>
      <c r="I24" s="31" t="inlineStr">
        <is>
          <t>tac_0_0_1_1</t>
        </is>
      </c>
      <c r="J24" s="31" t="inlineStr">
        <is>
          <t>llte_0_0_1_1_0_0</t>
        </is>
      </c>
      <c r="K24" s="31" t="inlineStr">
        <is>
          <t>tac_0_0_1_1</t>
        </is>
      </c>
      <c r="L24" s="31" t="inlineStr">
        <is>
          <t>9</t>
        </is>
      </c>
      <c r="M24" s="31" t="inlineStr">
        <is>
          <t>BFP</t>
        </is>
      </c>
      <c r="N24" s="31" t="inlineStr">
        <is>
          <t>2160</t>
        </is>
      </c>
      <c r="O24" s="31" t="inlineStr">
        <is>
          <t>20</t>
        </is>
      </c>
      <c r="P24" s="31" t="inlineStr">
        <is>
          <t>NR</t>
        </is>
      </c>
      <c r="Q24" s="31" t="inlineStr">
        <is>
          <t>23</t>
        </is>
      </c>
      <c r="R24" s="31" t="inlineStr">
        <is>
          <t>19646</t>
        </is>
      </c>
      <c r="S24" s="0" t="inlineStr"/>
      <c r="T24" s="0" t="n">
        <v>4.2</v>
      </c>
      <c r="V24" s="10">
        <f>DEC2HEX(F24)</f>
        <v/>
      </c>
      <c r="W24" s="0">
        <f>W23</f>
        <v/>
      </c>
    </row>
    <row r="25">
      <c r="A25" s="30" t="inlineStr">
        <is>
          <t>ON</t>
        </is>
      </c>
      <c r="B25" s="31" t="inlineStr">
        <is>
          <t>C2</t>
        </is>
      </c>
      <c r="C25" s="31" t="inlineStr">
        <is>
          <t>llte_0_1_0_2_0_0</t>
        </is>
      </c>
      <c r="D25" s="31" t="inlineStr">
        <is>
          <t>KHZ_30</t>
        </is>
      </c>
      <c r="E25" s="31" t="inlineStr">
        <is>
          <t>133</t>
        </is>
      </c>
      <c r="F25" s="13" t="inlineStr">
        <is>
          <t>4</t>
        </is>
      </c>
      <c r="G25" s="31" t="inlineStr">
        <is>
          <t>llte_0_1_0_2_0_0</t>
        </is>
      </c>
      <c r="H25" s="31" t="inlineStr">
        <is>
          <t>ru-pe.0</t>
        </is>
      </c>
      <c r="I25" s="31" t="inlineStr">
        <is>
          <t>tac_0_1_0_2</t>
        </is>
      </c>
      <c r="J25" s="31" t="inlineStr">
        <is>
          <t>llte_0_1_0_2_0_0</t>
        </is>
      </c>
      <c r="K25" s="31" t="inlineStr">
        <is>
          <t>tac_0_1_0_2</t>
        </is>
      </c>
      <c r="L25" s="31" t="inlineStr">
        <is>
          <t>9</t>
        </is>
      </c>
      <c r="M25" s="31" t="inlineStr">
        <is>
          <t>BFP</t>
        </is>
      </c>
      <c r="N25" s="31" t="inlineStr">
        <is>
          <t>3750.09</t>
        </is>
      </c>
      <c r="O25" s="31" t="inlineStr">
        <is>
          <t>100</t>
        </is>
      </c>
      <c r="P25" s="31" t="inlineStr">
        <is>
          <t>NR</t>
        </is>
      </c>
      <c r="Q25" s="31" t="inlineStr">
        <is>
          <t>23</t>
        </is>
      </c>
      <c r="R25" s="31" t="inlineStr">
        <is>
          <t>19646</t>
        </is>
      </c>
      <c r="S25" s="0" t="inlineStr"/>
      <c r="V25" s="10">
        <f>DEC2HEX(F25)</f>
        <v/>
      </c>
      <c r="W25" s="0">
        <f>W24</f>
        <v/>
      </c>
    </row>
    <row r="26">
      <c r="A26" s="30" t="inlineStr">
        <is>
          <t>ON</t>
        </is>
      </c>
      <c r="B26" s="31" t="inlineStr">
        <is>
          <t>C3</t>
        </is>
      </c>
      <c r="C26" s="31" t="inlineStr">
        <is>
          <t>llte_0_1_1_2_0_0</t>
        </is>
      </c>
      <c r="D26" s="31" t="inlineStr">
        <is>
          <t>KHZ_30</t>
        </is>
      </c>
      <c r="E26" s="31" t="inlineStr">
        <is>
          <t>133</t>
        </is>
      </c>
      <c r="F26" s="13" t="inlineStr">
        <is>
          <t>5</t>
        </is>
      </c>
      <c r="G26" s="31" t="inlineStr">
        <is>
          <t>llte_0_1_1_2_0_0</t>
        </is>
      </c>
      <c r="H26" s="31" t="inlineStr">
        <is>
          <t>ru-pe.0</t>
        </is>
      </c>
      <c r="I26" s="31" t="inlineStr">
        <is>
          <t>tac_0_1_1_2</t>
        </is>
      </c>
      <c r="J26" s="31" t="inlineStr">
        <is>
          <t>llte_0_1_1_2_0_0</t>
        </is>
      </c>
      <c r="K26" s="31" t="inlineStr">
        <is>
          <t>tac_0_1_1_2</t>
        </is>
      </c>
      <c r="L26" s="31" t="inlineStr">
        <is>
          <t>9</t>
        </is>
      </c>
      <c r="M26" s="31" t="inlineStr">
        <is>
          <t>BFP</t>
        </is>
      </c>
      <c r="N26" s="31" t="inlineStr">
        <is>
          <t>3750.09</t>
        </is>
      </c>
      <c r="O26" s="31" t="inlineStr">
        <is>
          <t>100</t>
        </is>
      </c>
      <c r="P26" s="31" t="inlineStr">
        <is>
          <t>NR</t>
        </is>
      </c>
      <c r="Q26" s="31" t="inlineStr">
        <is>
          <t>23</t>
        </is>
      </c>
      <c r="R26" s="31" t="inlineStr">
        <is>
          <t>19646</t>
        </is>
      </c>
      <c r="S26" s="0" t="inlineStr"/>
      <c r="V26" s="10">
        <f>DEC2HEX(F26)</f>
        <v/>
      </c>
      <c r="W26" s="0">
        <f>W25</f>
        <v/>
      </c>
    </row>
    <row r="27">
      <c r="A27" s="30" t="inlineStr">
        <is>
          <t>OFF</t>
        </is>
      </c>
      <c r="B27" s="31" t="inlineStr">
        <is>
          <t>C4</t>
        </is>
      </c>
      <c r="C27" s="31" t="inlineStr">
        <is>
          <t>llte_0_2_0_3_0_0</t>
        </is>
      </c>
      <c r="D27" s="31" t="inlineStr">
        <is>
          <t>KHZ_15</t>
        </is>
      </c>
      <c r="E27" s="31" t="inlineStr">
        <is>
          <t>25</t>
        </is>
      </c>
      <c r="F27" s="13" t="inlineStr">
        <is>
          <t>6</t>
        </is>
      </c>
      <c r="G27" s="31" t="inlineStr">
        <is>
          <t>llte_0_2_0_3_0_0</t>
        </is>
      </c>
      <c r="H27" s="31" t="inlineStr">
        <is>
          <t>ru-pe.0</t>
        </is>
      </c>
      <c r="I27" s="31" t="inlineStr">
        <is>
          <t>tac_0_2_0_3</t>
        </is>
      </c>
      <c r="J27" s="31" t="inlineStr">
        <is>
          <t>llte_0_2_0_3_0_0</t>
        </is>
      </c>
      <c r="K27" s="31" t="inlineStr">
        <is>
          <t>tac_0_2_0_3</t>
        </is>
      </c>
      <c r="L27" s="31" t="inlineStr">
        <is>
          <t>9</t>
        </is>
      </c>
      <c r="M27" s="31" t="inlineStr">
        <is>
          <t>BFP</t>
        </is>
      </c>
      <c r="N27" s="31" t="inlineStr">
        <is>
          <t>864.5</t>
        </is>
      </c>
      <c r="O27" s="31" t="inlineStr">
        <is>
          <t>5000000</t>
        </is>
      </c>
      <c r="P27" s="31" t="inlineStr">
        <is>
          <t>NR</t>
        </is>
      </c>
      <c r="Q27" s="31" t="inlineStr">
        <is>
          <t>0</t>
        </is>
      </c>
      <c r="R27" s="31" t="inlineStr">
        <is>
          <t>19646</t>
        </is>
      </c>
      <c r="S27" s="0" t="inlineStr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A28" s="30" t="inlineStr">
        <is>
          <t>OFF</t>
        </is>
      </c>
      <c r="B28" s="31" t="inlineStr">
        <is>
          <t>C5</t>
        </is>
      </c>
      <c r="C28" s="31" t="inlineStr">
        <is>
          <t>llte_0_2_1_3_0_0</t>
        </is>
      </c>
      <c r="D28" s="31" t="inlineStr">
        <is>
          <t>KHZ_15</t>
        </is>
      </c>
      <c r="E28" s="31" t="inlineStr">
        <is>
          <t>25</t>
        </is>
      </c>
      <c r="F28" s="13" t="inlineStr">
        <is>
          <t>7</t>
        </is>
      </c>
      <c r="G28" s="31" t="inlineStr">
        <is>
          <t>llte_0_2_1_3_0_0</t>
        </is>
      </c>
      <c r="H28" s="31" t="inlineStr">
        <is>
          <t>ru-pe.0</t>
        </is>
      </c>
      <c r="I28" s="31" t="inlineStr">
        <is>
          <t>tac_0_2_1_3</t>
        </is>
      </c>
      <c r="J28" s="31" t="inlineStr">
        <is>
          <t>llte_0_2_1_3_0_0</t>
        </is>
      </c>
      <c r="K28" s="31" t="inlineStr">
        <is>
          <t>tac_0_2_1_3</t>
        </is>
      </c>
      <c r="L28" s="31" t="inlineStr">
        <is>
          <t>9</t>
        </is>
      </c>
      <c r="M28" s="31" t="inlineStr">
        <is>
          <t>BFP</t>
        </is>
      </c>
      <c r="N28" s="31" t="inlineStr">
        <is>
          <t>869.5</t>
        </is>
      </c>
      <c r="O28" s="31" t="inlineStr">
        <is>
          <t>5000000</t>
        </is>
      </c>
      <c r="P28" s="31" t="inlineStr">
        <is>
          <t>NR</t>
        </is>
      </c>
      <c r="Q28" s="31" t="inlineStr">
        <is>
          <t>0</t>
        </is>
      </c>
      <c r="R28" s="31" t="inlineStr">
        <is>
          <t>19646</t>
        </is>
      </c>
      <c r="S28" s="0" t="inlineStr"/>
      <c r="V28" s="10">
        <f>DEC2HEX(F28)</f>
        <v/>
      </c>
      <c r="W28" s="0">
        <f>W27</f>
        <v/>
      </c>
      <c r="AH28" s="12" t="n">
        <v>3900</v>
      </c>
    </row>
    <row r="29">
      <c r="A29" s="30" t="inlineStr">
        <is>
          <t>OFF</t>
        </is>
      </c>
      <c r="B29" s="31" t="inlineStr">
        <is>
          <t>C6</t>
        </is>
      </c>
      <c r="C29" s="31" t="inlineStr">
        <is>
          <t>llte_0_3_0_4_0_0</t>
        </is>
      </c>
      <c r="D29" s="31" t="inlineStr">
        <is>
          <t>KHZ_15</t>
        </is>
      </c>
      <c r="E29" s="31" t="inlineStr">
        <is>
          <t>25</t>
        </is>
      </c>
      <c r="F29" s="13" t="inlineStr">
        <is>
          <t>8</t>
        </is>
      </c>
      <c r="G29" s="31" t="inlineStr">
        <is>
          <t>llte_0_3_0_4_0_0</t>
        </is>
      </c>
      <c r="H29" s="31" t="inlineStr">
        <is>
          <t>ru-pe.0</t>
        </is>
      </c>
      <c r="I29" s="31" t="inlineStr">
        <is>
          <t>tac_0_3_0_4</t>
        </is>
      </c>
      <c r="J29" s="31" t="inlineStr">
        <is>
          <t>llte_0_3_0_4_0_0</t>
        </is>
      </c>
      <c r="K29" s="31" t="inlineStr">
        <is>
          <t>tac_0_3_0_4</t>
        </is>
      </c>
      <c r="L29" s="31" t="inlineStr">
        <is>
          <t>9</t>
        </is>
      </c>
      <c r="M29" s="31" t="inlineStr">
        <is>
          <t>BFP</t>
        </is>
      </c>
      <c r="N29" s="31" t="inlineStr">
        <is>
          <t>2352.5</t>
        </is>
      </c>
      <c r="O29" s="31" t="inlineStr">
        <is>
          <t>5000000</t>
        </is>
      </c>
      <c r="P29" s="31" t="inlineStr">
        <is>
          <t>NR</t>
        </is>
      </c>
      <c r="Q29" s="31" t="inlineStr">
        <is>
          <t>0</t>
        </is>
      </c>
      <c r="R29" s="31" t="inlineStr">
        <is>
          <t>19646</t>
        </is>
      </c>
      <c r="S29" s="0" t="inlineStr"/>
      <c r="V29" s="10">
        <f>DEC2HEX(F29)</f>
        <v/>
      </c>
      <c r="W29" s="0">
        <f>W28</f>
        <v/>
      </c>
    </row>
    <row r="30">
      <c r="A30" s="30" t="inlineStr">
        <is>
          <t>OFF</t>
        </is>
      </c>
      <c r="B30" s="31" t="inlineStr">
        <is>
          <t>C7</t>
        </is>
      </c>
      <c r="C30" s="31" t="inlineStr">
        <is>
          <t>llte_0_3_1_4_0_0</t>
        </is>
      </c>
      <c r="D30" s="31" t="inlineStr">
        <is>
          <t>KHZ_15</t>
        </is>
      </c>
      <c r="E30" s="31" t="inlineStr">
        <is>
          <t>25</t>
        </is>
      </c>
      <c r="F30" s="13" t="inlineStr">
        <is>
          <t>9</t>
        </is>
      </c>
      <c r="G30" s="31" t="inlineStr">
        <is>
          <t>llte_0_3_1_4_0_0</t>
        </is>
      </c>
      <c r="H30" s="31" t="inlineStr">
        <is>
          <t>ru-pe.0</t>
        </is>
      </c>
      <c r="I30" s="31" t="inlineStr">
        <is>
          <t>tac_0_3_1_4</t>
        </is>
      </c>
      <c r="J30" s="31" t="inlineStr">
        <is>
          <t>llte_0_3_1_4_0_0</t>
        </is>
      </c>
      <c r="K30" s="31" t="inlineStr">
        <is>
          <t>tac_0_3_1_4</t>
        </is>
      </c>
      <c r="L30" s="31" t="inlineStr">
        <is>
          <t>9</t>
        </is>
      </c>
      <c r="M30" s="31" t="inlineStr">
        <is>
          <t>BFP</t>
        </is>
      </c>
      <c r="N30" s="31" t="inlineStr">
        <is>
          <t>2357.5</t>
        </is>
      </c>
      <c r="O30" s="31" t="inlineStr">
        <is>
          <t>5000000</t>
        </is>
      </c>
      <c r="P30" s="31" t="inlineStr">
        <is>
          <t>NR</t>
        </is>
      </c>
      <c r="Q30" s="31" t="inlineStr">
        <is>
          <t>0</t>
        </is>
      </c>
      <c r="R30" s="31" t="inlineStr">
        <is>
          <t>19646</t>
        </is>
      </c>
      <c r="S30" s="0" t="inlineStr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3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33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31" t="inlineStr">
        <is>
          <t>C0</t>
        </is>
      </c>
      <c r="C36" s="31" t="inlineStr">
        <is>
          <t>llre_0_0_0_1_0_0</t>
        </is>
      </c>
      <c r="D36" s="31" t="inlineStr">
        <is>
          <t>KHZ_15</t>
        </is>
      </c>
      <c r="E36" s="31" t="inlineStr">
        <is>
          <t>106</t>
        </is>
      </c>
      <c r="F36" s="31" t="inlineStr">
        <is>
          <t>0</t>
        </is>
      </c>
      <c r="G36" s="13" t="inlineStr">
        <is>
          <t>18</t>
        </is>
      </c>
      <c r="H36" s="31" t="inlineStr">
        <is>
          <t>llre_0_0_0_1_0_0</t>
        </is>
      </c>
      <c r="I36" s="31" t="inlineStr">
        <is>
          <t>ru-pe.0</t>
        </is>
      </c>
      <c r="J36" s="31" t="inlineStr">
        <is>
          <t>rac_0_0_0_1</t>
        </is>
      </c>
      <c r="K36" s="31" t="inlineStr">
        <is>
          <t>llre_0_0_0_1_0_0</t>
        </is>
      </c>
      <c r="L36" s="31" t="inlineStr">
        <is>
          <t>9</t>
        </is>
      </c>
      <c r="M36" s="31" t="inlineStr">
        <is>
          <t>BFP</t>
        </is>
      </c>
      <c r="N36" s="31" t="inlineStr">
        <is>
          <t>rac_0_0_0_1</t>
        </is>
      </c>
      <c r="O36" s="31" t="inlineStr">
        <is>
          <t>1760</t>
        </is>
      </c>
      <c r="P36" s="31" t="inlineStr">
        <is>
          <t>20</t>
        </is>
      </c>
      <c r="Q36" s="31" t="inlineStr">
        <is>
          <t>NR</t>
        </is>
      </c>
      <c r="R36" s="13" t="inlineStr">
        <is>
          <t>0</t>
        </is>
      </c>
      <c r="S36" s="31" t="inlineStr">
        <is>
          <t>19646</t>
        </is>
      </c>
      <c r="T36" s="24" t="inlineStr">
        <is>
          <t>0</t>
        </is>
      </c>
      <c r="U36" t="inlineStr"/>
      <c r="V36" t="inlineStr"/>
      <c r="W36" t="inlineStr"/>
      <c r="X36" t="inlineStr"/>
      <c r="Y36" t="inlineStr"/>
    </row>
    <row r="37">
      <c r="B37" s="31" t="inlineStr">
        <is>
          <t>C1</t>
        </is>
      </c>
      <c r="C37" s="31" t="inlineStr">
        <is>
          <t>llre_0_0_1_1_0_0</t>
        </is>
      </c>
      <c r="D37" s="31" t="inlineStr">
        <is>
          <t>KHZ_15</t>
        </is>
      </c>
      <c r="E37" s="31" t="inlineStr">
        <is>
          <t>106</t>
        </is>
      </c>
      <c r="F37" s="31" t="inlineStr">
        <is>
          <t>0</t>
        </is>
      </c>
      <c r="G37" s="13" t="inlineStr">
        <is>
          <t>19</t>
        </is>
      </c>
      <c r="H37" s="31" t="inlineStr">
        <is>
          <t>llre_0_0_1_1_0_0</t>
        </is>
      </c>
      <c r="I37" s="31" t="inlineStr">
        <is>
          <t>ru-pe.0</t>
        </is>
      </c>
      <c r="J37" s="31" t="inlineStr">
        <is>
          <t>rac_0_0_1_1</t>
        </is>
      </c>
      <c r="K37" s="31" t="inlineStr">
        <is>
          <t>llre_0_0_1_1_0_0</t>
        </is>
      </c>
      <c r="L37" s="31" t="inlineStr">
        <is>
          <t>9</t>
        </is>
      </c>
      <c r="M37" s="31" t="inlineStr">
        <is>
          <t>BFP</t>
        </is>
      </c>
      <c r="N37" s="31" t="inlineStr">
        <is>
          <t>rac_0_0_1_1</t>
        </is>
      </c>
      <c r="O37" s="31" t="inlineStr">
        <is>
          <t>1760</t>
        </is>
      </c>
      <c r="P37" s="31" t="inlineStr">
        <is>
          <t>20</t>
        </is>
      </c>
      <c r="Q37" s="31" t="inlineStr">
        <is>
          <t>NR</t>
        </is>
      </c>
      <c r="R37" s="13" t="inlineStr"/>
      <c r="S37" s="31" t="inlineStr">
        <is>
          <t>19646</t>
        </is>
      </c>
      <c r="T37" s="24" t="inlineStr">
        <is>
          <t>0</t>
        </is>
      </c>
      <c r="U37" t="inlineStr"/>
      <c r="V37" t="inlineStr"/>
      <c r="W37" t="inlineStr"/>
      <c r="X37" t="inlineStr"/>
      <c r="Y37" t="inlineStr"/>
    </row>
    <row r="38">
      <c r="B38" s="31" t="inlineStr">
        <is>
          <t>C2</t>
        </is>
      </c>
      <c r="C38" s="31" t="inlineStr">
        <is>
          <t>llre_0_1_0_2_0_0</t>
        </is>
      </c>
      <c r="D38" s="31" t="inlineStr">
        <is>
          <t>KHZ_30</t>
        </is>
      </c>
      <c r="E38" s="31" t="inlineStr">
        <is>
          <t>133</t>
        </is>
      </c>
      <c r="F38" s="31" t="inlineStr">
        <is>
          <t>0</t>
        </is>
      </c>
      <c r="G38" s="13" t="inlineStr">
        <is>
          <t>20</t>
        </is>
      </c>
      <c r="H38" s="31" t="inlineStr">
        <is>
          <t>llre_0_1_0_2_0_0</t>
        </is>
      </c>
      <c r="I38" s="31" t="inlineStr">
        <is>
          <t>ru-pe.0</t>
        </is>
      </c>
      <c r="J38" s="31" t="inlineStr">
        <is>
          <t>rac_0_1_0_2</t>
        </is>
      </c>
      <c r="K38" s="31" t="inlineStr">
        <is>
          <t>llre_0_1_0_2_0_0</t>
        </is>
      </c>
      <c r="L38" s="31" t="inlineStr">
        <is>
          <t>9</t>
        </is>
      </c>
      <c r="M38" s="31" t="inlineStr">
        <is>
          <t>BFP</t>
        </is>
      </c>
      <c r="N38" s="31" t="inlineStr">
        <is>
          <t>rac_0_1_0_2</t>
        </is>
      </c>
      <c r="O38" s="31" t="inlineStr">
        <is>
          <t>3750.09</t>
        </is>
      </c>
      <c r="P38" s="31" t="inlineStr">
        <is>
          <t>100</t>
        </is>
      </c>
      <c r="Q38" s="31" t="inlineStr">
        <is>
          <t>NR</t>
        </is>
      </c>
      <c r="R38" s="13" t="inlineStr">
        <is>
          <t>25600</t>
        </is>
      </c>
      <c r="S38" s="31" t="inlineStr">
        <is>
          <t>19646</t>
        </is>
      </c>
      <c r="T38" s="24" t="inlineStr">
        <is>
          <t>0</t>
        </is>
      </c>
      <c r="U38" t="inlineStr"/>
      <c r="V38" t="inlineStr"/>
      <c r="W38" t="inlineStr"/>
      <c r="X38" t="inlineStr"/>
      <c r="Y38" t="inlineStr"/>
    </row>
    <row r="39">
      <c r="B39" s="31" t="inlineStr">
        <is>
          <t>C3</t>
        </is>
      </c>
      <c r="C39" s="31" t="inlineStr">
        <is>
          <t>llre_0_1_1_2_0_0</t>
        </is>
      </c>
      <c r="D39" s="31" t="inlineStr">
        <is>
          <t>KHZ_30</t>
        </is>
      </c>
      <c r="E39" s="31" t="inlineStr">
        <is>
          <t>133</t>
        </is>
      </c>
      <c r="F39" s="31" t="inlineStr">
        <is>
          <t>0</t>
        </is>
      </c>
      <c r="G39" s="13" t="inlineStr">
        <is>
          <t>21</t>
        </is>
      </c>
      <c r="H39" s="31" t="inlineStr">
        <is>
          <t>llre_0_1_1_2_0_0</t>
        </is>
      </c>
      <c r="I39" s="31" t="inlineStr">
        <is>
          <t>ru-pe.0</t>
        </is>
      </c>
      <c r="J39" s="31" t="inlineStr">
        <is>
          <t>rac_0_1_1_2</t>
        </is>
      </c>
      <c r="K39" s="31" t="inlineStr">
        <is>
          <t>llre_0_1_1_2_0_0</t>
        </is>
      </c>
      <c r="L39" s="31" t="inlineStr">
        <is>
          <t>9</t>
        </is>
      </c>
      <c r="M39" s="31" t="inlineStr">
        <is>
          <t>BFP</t>
        </is>
      </c>
      <c r="N39" s="31" t="inlineStr">
        <is>
          <t>rac_0_1_1_2</t>
        </is>
      </c>
      <c r="O39" s="31" t="inlineStr">
        <is>
          <t>3750.09</t>
        </is>
      </c>
      <c r="P39" s="31" t="inlineStr">
        <is>
          <t>100</t>
        </is>
      </c>
      <c r="Q39" s="31" t="inlineStr">
        <is>
          <t>NR</t>
        </is>
      </c>
      <c r="R39" s="13" t="inlineStr">
        <is>
          <t>25600</t>
        </is>
      </c>
      <c r="S39" s="31" t="inlineStr">
        <is>
          <t>19646</t>
        </is>
      </c>
      <c r="T39" s="24" t="inlineStr">
        <is>
          <t>0</t>
        </is>
      </c>
      <c r="U39" t="inlineStr"/>
      <c r="V39" t="inlineStr"/>
      <c r="W39" t="inlineStr"/>
      <c r="X39" t="inlineStr"/>
      <c r="Y39" t="inlineStr"/>
    </row>
    <row r="40">
      <c r="B40" s="31" t="inlineStr">
        <is>
          <t>C4</t>
        </is>
      </c>
      <c r="C40" s="31" t="inlineStr">
        <is>
          <t>llre_0_2_0_3_0_0</t>
        </is>
      </c>
      <c r="D40" s="31" t="inlineStr">
        <is>
          <t>KHZ_15</t>
        </is>
      </c>
      <c r="E40" s="31" t="inlineStr">
        <is>
          <t>25</t>
        </is>
      </c>
      <c r="F40" s="31" t="inlineStr">
        <is>
          <t>0</t>
        </is>
      </c>
      <c r="G40" s="13" t="inlineStr">
        <is>
          <t>22</t>
        </is>
      </c>
      <c r="H40" s="31" t="inlineStr">
        <is>
          <t>llre_0_2_0_3_0_0</t>
        </is>
      </c>
      <c r="I40" s="31" t="inlineStr">
        <is>
          <t>ru-pe.0</t>
        </is>
      </c>
      <c r="J40" s="31" t="inlineStr">
        <is>
          <t>rac_0_2_0_3</t>
        </is>
      </c>
      <c r="K40" s="31" t="inlineStr">
        <is>
          <t>llre_0_2_0_3_0_0</t>
        </is>
      </c>
      <c r="L40" s="31" t="inlineStr">
        <is>
          <t>9</t>
        </is>
      </c>
      <c r="M40" s="31" t="inlineStr">
        <is>
          <t>BFP</t>
        </is>
      </c>
      <c r="N40" s="31" t="inlineStr">
        <is>
          <t>rac_0_2_0_3</t>
        </is>
      </c>
      <c r="O40" s="31" t="inlineStr">
        <is>
          <t>832</t>
        </is>
      </c>
      <c r="P40" s="31" t="inlineStr">
        <is>
          <t>5000000</t>
        </is>
      </c>
      <c r="Q40" s="31" t="inlineStr">
        <is>
          <t>NR</t>
        </is>
      </c>
      <c r="R40" s="13" t="inlineStr">
        <is>
          <t>25600</t>
        </is>
      </c>
      <c r="S40" s="31" t="inlineStr">
        <is>
          <t>19646</t>
        </is>
      </c>
      <c r="T40" s="24" t="inlineStr">
        <is>
          <t>0</t>
        </is>
      </c>
      <c r="U40" t="inlineStr"/>
      <c r="V40" t="inlineStr"/>
      <c r="W40" t="inlineStr"/>
      <c r="X40" t="inlineStr"/>
      <c r="Y40" t="inlineStr"/>
    </row>
    <row r="41">
      <c r="B41" s="31" t="inlineStr">
        <is>
          <t>C5</t>
        </is>
      </c>
      <c r="C41" s="31" t="inlineStr">
        <is>
          <t>llre_0_2_1_3_0_0</t>
        </is>
      </c>
      <c r="D41" s="31" t="inlineStr">
        <is>
          <t>KHZ_15</t>
        </is>
      </c>
      <c r="E41" s="31" t="inlineStr">
        <is>
          <t>25</t>
        </is>
      </c>
      <c r="F41" s="31" t="inlineStr">
        <is>
          <t>0</t>
        </is>
      </c>
      <c r="G41" s="13" t="inlineStr">
        <is>
          <t>23</t>
        </is>
      </c>
      <c r="H41" s="31" t="inlineStr">
        <is>
          <t>llre_0_2_1_3_0_0</t>
        </is>
      </c>
      <c r="I41" s="31" t="inlineStr">
        <is>
          <t>ru-pe.0</t>
        </is>
      </c>
      <c r="J41" s="31" t="inlineStr">
        <is>
          <t>rac_0_2_1_3</t>
        </is>
      </c>
      <c r="K41" s="31" t="inlineStr">
        <is>
          <t>llre_0_2_1_3_0_0</t>
        </is>
      </c>
      <c r="L41" s="31" t="inlineStr">
        <is>
          <t>9</t>
        </is>
      </c>
      <c r="M41" s="31" t="inlineStr">
        <is>
          <t>BFP</t>
        </is>
      </c>
      <c r="N41" s="31" t="inlineStr">
        <is>
          <t>rac_0_2_1_3</t>
        </is>
      </c>
      <c r="O41" s="31" t="inlineStr">
        <is>
          <t>837</t>
        </is>
      </c>
      <c r="P41" s="31" t="inlineStr">
        <is>
          <t>5000000</t>
        </is>
      </c>
      <c r="Q41" s="31" t="inlineStr">
        <is>
          <t>NR</t>
        </is>
      </c>
      <c r="R41" s="13" t="inlineStr">
        <is>
          <t>25600</t>
        </is>
      </c>
      <c r="S41" s="31" t="inlineStr">
        <is>
          <t>19646</t>
        </is>
      </c>
      <c r="T41" s="24" t="inlineStr">
        <is>
          <t>0</t>
        </is>
      </c>
      <c r="U41" t="inlineStr"/>
      <c r="V41" t="inlineStr"/>
      <c r="W41" t="inlineStr"/>
      <c r="X41" t="inlineStr"/>
      <c r="Y41" t="inlineStr"/>
    </row>
    <row r="42">
      <c r="B42" s="31" t="inlineStr">
        <is>
          <t>C6</t>
        </is>
      </c>
      <c r="C42" s="31" t="inlineStr">
        <is>
          <t>llre_0_3_0_4_0_0</t>
        </is>
      </c>
      <c r="D42" s="31" t="inlineStr">
        <is>
          <t>KHZ_15</t>
        </is>
      </c>
      <c r="E42" s="31" t="inlineStr">
        <is>
          <t>25</t>
        </is>
      </c>
      <c r="F42" s="31" t="inlineStr">
        <is>
          <t>0</t>
        </is>
      </c>
      <c r="G42" s="13" t="inlineStr">
        <is>
          <t>24</t>
        </is>
      </c>
      <c r="H42" s="31" t="inlineStr">
        <is>
          <t>llre_0_3_0_4_0_0</t>
        </is>
      </c>
      <c r="I42" s="31" t="inlineStr">
        <is>
          <t>ru-pe.0</t>
        </is>
      </c>
      <c r="J42" s="31" t="inlineStr">
        <is>
          <t>rac_0_3_0_4</t>
        </is>
      </c>
      <c r="K42" s="31" t="inlineStr">
        <is>
          <t>llre_0_3_0_4_0_0</t>
        </is>
      </c>
      <c r="L42" s="31" t="inlineStr">
        <is>
          <t>9</t>
        </is>
      </c>
      <c r="M42" s="31" t="inlineStr">
        <is>
          <t>BFP</t>
        </is>
      </c>
      <c r="N42" s="31" t="inlineStr">
        <is>
          <t>rac_0_3_0_4</t>
        </is>
      </c>
      <c r="O42" s="31" t="inlineStr">
        <is>
          <t>2307.5</t>
        </is>
      </c>
      <c r="P42" s="31" t="inlineStr">
        <is>
          <t>5000000</t>
        </is>
      </c>
      <c r="Q42" s="31" t="inlineStr">
        <is>
          <t>NR</t>
        </is>
      </c>
      <c r="R42" s="13" t="inlineStr">
        <is>
          <t>25600</t>
        </is>
      </c>
      <c r="S42" s="31" t="inlineStr">
        <is>
          <t>19646</t>
        </is>
      </c>
      <c r="T42" s="24" t="inlineStr">
        <is>
          <t>0</t>
        </is>
      </c>
      <c r="U42" t="inlineStr"/>
      <c r="V42" t="inlineStr"/>
      <c r="W42" t="inlineStr"/>
      <c r="X42" t="inlineStr"/>
      <c r="Y42" t="inlineStr"/>
    </row>
    <row r="43">
      <c r="B43" s="31" t="inlineStr">
        <is>
          <t>C7</t>
        </is>
      </c>
      <c r="C43" s="31" t="inlineStr">
        <is>
          <t>llre_0_3_1_4_0_0</t>
        </is>
      </c>
      <c r="D43" s="31" t="inlineStr">
        <is>
          <t>KHZ_15</t>
        </is>
      </c>
      <c r="E43" s="31" t="inlineStr">
        <is>
          <t>25</t>
        </is>
      </c>
      <c r="F43" s="31" t="inlineStr">
        <is>
          <t>0</t>
        </is>
      </c>
      <c r="G43" s="13" t="inlineStr">
        <is>
          <t>25</t>
        </is>
      </c>
      <c r="H43" s="31" t="inlineStr">
        <is>
          <t>llre_0_3_1_4_0_0</t>
        </is>
      </c>
      <c r="I43" s="31" t="inlineStr">
        <is>
          <t>ru-pe.0</t>
        </is>
      </c>
      <c r="J43" s="31" t="inlineStr">
        <is>
          <t>rac_0_3_1_4</t>
        </is>
      </c>
      <c r="K43" s="31" t="inlineStr">
        <is>
          <t>llre_0_3_1_4_0_0</t>
        </is>
      </c>
      <c r="L43" s="31" t="inlineStr">
        <is>
          <t>9</t>
        </is>
      </c>
      <c r="M43" s="31" t="inlineStr">
        <is>
          <t>BFP</t>
        </is>
      </c>
      <c r="N43" s="31" t="inlineStr">
        <is>
          <t>rac_0_3_1_4</t>
        </is>
      </c>
      <c r="O43" s="31" t="inlineStr">
        <is>
          <t>2312.5</t>
        </is>
      </c>
      <c r="P43" s="31" t="inlineStr">
        <is>
          <t>5000000</t>
        </is>
      </c>
      <c r="Q43" s="31" t="inlineStr">
        <is>
          <t>NR</t>
        </is>
      </c>
      <c r="R43" s="13" t="inlineStr">
        <is>
          <t>25600</t>
        </is>
      </c>
      <c r="S43" s="31" t="inlineStr">
        <is>
          <t>19646</t>
        </is>
      </c>
      <c r="T43" s="24" t="inlineStr">
        <is>
          <t>0</t>
        </is>
      </c>
      <c r="U43" t="inlineStr"/>
      <c r="V43" t="inlineStr"/>
      <c r="W43" t="inlineStr"/>
      <c r="X43" t="inlineStr"/>
      <c r="Y43" t="inlineStr"/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6"/>
    <row r="47">
      <c r="B47" s="3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33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31" t="inlineStr">
        <is>
          <t>C0</t>
        </is>
      </c>
      <c r="C49" s="31" t="inlineStr">
        <is>
          <t>llre_0_0_0_1_1_0</t>
        </is>
      </c>
      <c r="D49" s="31" t="inlineStr">
        <is>
          <t>KHZ_15</t>
        </is>
      </c>
      <c r="E49" s="31" t="inlineStr">
        <is>
          <t>106</t>
        </is>
      </c>
      <c r="F49" s="31" t="inlineStr">
        <is>
          <t>0</t>
        </is>
      </c>
      <c r="G49" s="13" t="inlineStr">
        <is>
          <t>34</t>
        </is>
      </c>
      <c r="H49" s="31" t="inlineStr">
        <is>
          <t>llre_0_0_0_1_1_0</t>
        </is>
      </c>
      <c r="I49" s="31" t="inlineStr">
        <is>
          <t>ru-pe.0</t>
        </is>
      </c>
      <c r="J49" s="31" t="inlineStr">
        <is>
          <t>rac_0_0_0_1</t>
        </is>
      </c>
      <c r="K49" s="31" t="inlineStr">
        <is>
          <t>llre_0_0_0_1_1_0</t>
        </is>
      </c>
      <c r="L49" s="31" t="inlineStr">
        <is>
          <t>9</t>
        </is>
      </c>
      <c r="M49" s="31" t="inlineStr">
        <is>
          <t>BFP</t>
        </is>
      </c>
      <c r="O49" s="10">
        <f>DEC2HEX(G49)</f>
        <v/>
      </c>
    </row>
    <row r="50">
      <c r="B50" s="31" t="inlineStr">
        <is>
          <t>C1</t>
        </is>
      </c>
      <c r="C50" s="31" t="inlineStr">
        <is>
          <t>llre_0_0_1_1_1_0</t>
        </is>
      </c>
      <c r="D50" s="31" t="inlineStr">
        <is>
          <t>KHZ_15</t>
        </is>
      </c>
      <c r="E50" s="31" t="inlineStr">
        <is>
          <t>106</t>
        </is>
      </c>
      <c r="F50" s="31" t="inlineStr">
        <is>
          <t>0</t>
        </is>
      </c>
      <c r="G50" s="13" t="inlineStr">
        <is>
          <t>35</t>
        </is>
      </c>
      <c r="H50" s="31" t="inlineStr">
        <is>
          <t>llre_0_0_1_1_1_0</t>
        </is>
      </c>
      <c r="I50" s="31" t="inlineStr">
        <is>
          <t>ru-pe.0</t>
        </is>
      </c>
      <c r="J50" s="31" t="inlineStr">
        <is>
          <t>rac_0_0_1_1</t>
        </is>
      </c>
      <c r="K50" s="31" t="inlineStr">
        <is>
          <t>llre_0_0_1_1_1_0</t>
        </is>
      </c>
      <c r="L50" s="31" t="inlineStr">
        <is>
          <t>9</t>
        </is>
      </c>
      <c r="M50" s="31" t="inlineStr">
        <is>
          <t>BFP</t>
        </is>
      </c>
      <c r="O50" s="10">
        <f>DEC2HEX(G50)</f>
        <v/>
      </c>
    </row>
    <row r="51">
      <c r="B51" s="31" t="inlineStr">
        <is>
          <t>C2</t>
        </is>
      </c>
      <c r="C51" s="31" t="inlineStr">
        <is>
          <t>llre_0_1_0_2_1_0</t>
        </is>
      </c>
      <c r="D51" s="31" t="inlineStr">
        <is>
          <t>KHZ_30</t>
        </is>
      </c>
      <c r="E51" s="31" t="inlineStr">
        <is>
          <t>133</t>
        </is>
      </c>
      <c r="F51" s="31" t="inlineStr">
        <is>
          <t>0</t>
        </is>
      </c>
      <c r="G51" s="13" t="inlineStr">
        <is>
          <t>36</t>
        </is>
      </c>
      <c r="H51" s="31" t="inlineStr">
        <is>
          <t>llre_0_1_0_2_1_0</t>
        </is>
      </c>
      <c r="I51" s="31" t="inlineStr">
        <is>
          <t>ru-pe.0</t>
        </is>
      </c>
      <c r="J51" s="31" t="inlineStr">
        <is>
          <t>rac_0_1_0_2</t>
        </is>
      </c>
      <c r="K51" s="31" t="inlineStr">
        <is>
          <t>llre_0_1_0_2_1_0</t>
        </is>
      </c>
      <c r="L51" s="31" t="inlineStr">
        <is>
          <t>9</t>
        </is>
      </c>
      <c r="M51" s="31" t="inlineStr">
        <is>
          <t>BFP</t>
        </is>
      </c>
      <c r="O51" s="10">
        <f>DEC2HEX(G51)</f>
        <v/>
      </c>
    </row>
    <row r="52">
      <c r="B52" s="31" t="inlineStr">
        <is>
          <t>C3</t>
        </is>
      </c>
      <c r="C52" s="31" t="inlineStr">
        <is>
          <t>llre_0_1_1_2_1_0</t>
        </is>
      </c>
      <c r="D52" s="31" t="inlineStr">
        <is>
          <t>KHZ_30</t>
        </is>
      </c>
      <c r="E52" s="31" t="inlineStr">
        <is>
          <t>133</t>
        </is>
      </c>
      <c r="F52" s="31" t="inlineStr">
        <is>
          <t>0</t>
        </is>
      </c>
      <c r="G52" s="13" t="inlineStr">
        <is>
          <t>37</t>
        </is>
      </c>
      <c r="H52" s="31" t="inlineStr">
        <is>
          <t>llre_0_1_1_2_1_0</t>
        </is>
      </c>
      <c r="I52" s="31" t="inlineStr">
        <is>
          <t>ru-pe.0</t>
        </is>
      </c>
      <c r="J52" s="31" t="inlineStr">
        <is>
          <t>rac_0_1_1_2</t>
        </is>
      </c>
      <c r="K52" s="31" t="inlineStr">
        <is>
          <t>llre_0_1_1_2_1_0</t>
        </is>
      </c>
      <c r="L52" s="31" t="inlineStr">
        <is>
          <t>9</t>
        </is>
      </c>
      <c r="M52" s="31" t="inlineStr">
        <is>
          <t>BFP</t>
        </is>
      </c>
      <c r="O52" s="10">
        <f>DEC2HEX(G52)</f>
        <v/>
      </c>
    </row>
    <row r="53">
      <c r="B53" s="31" t="inlineStr">
        <is>
          <t>C4</t>
        </is>
      </c>
      <c r="C53" s="31" t="inlineStr">
        <is>
          <t>llre_0_2_0_3_1_0</t>
        </is>
      </c>
      <c r="D53" s="31" t="inlineStr">
        <is>
          <t>KHZ_15</t>
        </is>
      </c>
      <c r="E53" s="31" t="inlineStr">
        <is>
          <t>25</t>
        </is>
      </c>
      <c r="F53" s="31" t="inlineStr">
        <is>
          <t>0</t>
        </is>
      </c>
      <c r="G53" s="13" t="inlineStr">
        <is>
          <t>38</t>
        </is>
      </c>
      <c r="H53" s="31" t="inlineStr">
        <is>
          <t>llre_0_2_0_3_1_0</t>
        </is>
      </c>
      <c r="I53" s="31" t="inlineStr">
        <is>
          <t>ru-pe.0</t>
        </is>
      </c>
      <c r="J53" s="31" t="inlineStr">
        <is>
          <t>rac_0_2_0_3</t>
        </is>
      </c>
      <c r="K53" s="31" t="inlineStr">
        <is>
          <t>llre_0_2_0_3_1_0</t>
        </is>
      </c>
      <c r="L53" s="31" t="inlineStr">
        <is>
          <t>9</t>
        </is>
      </c>
      <c r="M53" s="31" t="inlineStr">
        <is>
          <t>BFP</t>
        </is>
      </c>
      <c r="O53" s="10">
        <f>DEC2HEX(G53)</f>
        <v/>
      </c>
    </row>
    <row r="54">
      <c r="B54" s="31" t="inlineStr">
        <is>
          <t>C5</t>
        </is>
      </c>
      <c r="C54" s="31" t="inlineStr">
        <is>
          <t>llre_0_2_1_3_1_0</t>
        </is>
      </c>
      <c r="D54" s="31" t="inlineStr">
        <is>
          <t>KHZ_15</t>
        </is>
      </c>
      <c r="E54" s="31" t="inlineStr">
        <is>
          <t>25</t>
        </is>
      </c>
      <c r="F54" s="31" t="inlineStr">
        <is>
          <t>0</t>
        </is>
      </c>
      <c r="G54" s="13" t="inlineStr">
        <is>
          <t>39</t>
        </is>
      </c>
      <c r="H54" s="31" t="inlineStr">
        <is>
          <t>llre_0_2_1_3_1_0</t>
        </is>
      </c>
      <c r="I54" s="31" t="inlineStr">
        <is>
          <t>ru-pe.0</t>
        </is>
      </c>
      <c r="J54" s="31" t="inlineStr">
        <is>
          <t>rac_0_2_1_3</t>
        </is>
      </c>
      <c r="K54" s="31" t="inlineStr">
        <is>
          <t>llre_0_2_1_3_1_0</t>
        </is>
      </c>
      <c r="L54" s="31" t="inlineStr">
        <is>
          <t>9</t>
        </is>
      </c>
      <c r="M54" s="31" t="inlineStr">
        <is>
          <t>BFP</t>
        </is>
      </c>
      <c r="O54" s="10">
        <f>DEC2HEX(G54)</f>
        <v/>
      </c>
    </row>
    <row r="55">
      <c r="B55" s="31" t="inlineStr">
        <is>
          <t>C6</t>
        </is>
      </c>
      <c r="C55" s="31" t="inlineStr">
        <is>
          <t>llre_0_3_0_4_1_0</t>
        </is>
      </c>
      <c r="D55" s="31" t="inlineStr">
        <is>
          <t>KHZ_15</t>
        </is>
      </c>
      <c r="E55" s="31" t="inlineStr">
        <is>
          <t>25</t>
        </is>
      </c>
      <c r="F55" s="31" t="inlineStr">
        <is>
          <t>0</t>
        </is>
      </c>
      <c r="G55" s="13" t="inlineStr">
        <is>
          <t>40</t>
        </is>
      </c>
      <c r="H55" s="31" t="inlineStr">
        <is>
          <t>llre_0_3_0_4_1_0</t>
        </is>
      </c>
      <c r="I55" s="31" t="inlineStr">
        <is>
          <t>ru-pe.0</t>
        </is>
      </c>
      <c r="J55" s="31" t="inlineStr">
        <is>
          <t>rac_0_3_0_4</t>
        </is>
      </c>
      <c r="K55" s="31" t="inlineStr">
        <is>
          <t>llre_0_3_0_4_1_0</t>
        </is>
      </c>
      <c r="L55" s="31" t="inlineStr">
        <is>
          <t>9</t>
        </is>
      </c>
      <c r="M55" s="31" t="inlineStr">
        <is>
          <t>BFP</t>
        </is>
      </c>
      <c r="O55" s="10">
        <f>DEC2HEX(G55)</f>
        <v/>
      </c>
    </row>
    <row r="56">
      <c r="B56" s="31" t="inlineStr">
        <is>
          <t>C7</t>
        </is>
      </c>
      <c r="C56" s="31" t="inlineStr">
        <is>
          <t>llre_0_3_1_4_1_0</t>
        </is>
      </c>
      <c r="D56" s="31" t="inlineStr">
        <is>
          <t>KHZ_15</t>
        </is>
      </c>
      <c r="E56" s="31" t="inlineStr">
        <is>
          <t>25</t>
        </is>
      </c>
      <c r="F56" s="31" t="inlineStr">
        <is>
          <t>0</t>
        </is>
      </c>
      <c r="G56" s="13" t="inlineStr">
        <is>
          <t>41</t>
        </is>
      </c>
      <c r="H56" s="31" t="inlineStr">
        <is>
          <t>llre_0_3_1_4_1_0</t>
        </is>
      </c>
      <c r="I56" s="31" t="inlineStr">
        <is>
          <t>ru-pe.0</t>
        </is>
      </c>
      <c r="J56" s="31" t="inlineStr">
        <is>
          <t>rac_0_3_1_4</t>
        </is>
      </c>
      <c r="K56" s="31" t="inlineStr">
        <is>
          <t>llre_0_3_1_4_1_0</t>
        </is>
      </c>
      <c r="L56" s="31" t="inlineStr">
        <is>
          <t>9</t>
        </is>
      </c>
      <c r="M56" s="31" t="inlineStr">
        <is>
          <t>BFP</t>
        </is>
      </c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conditionalFormatting sqref="B23:R23 B36:T36 B49:M49">
    <cfRule type="expression" priority="8" dxfId="0">
      <formula>$A$23="OFF"</formula>
    </cfRule>
  </conditionalFormatting>
  <conditionalFormatting sqref="B24:R24 B37:T37 B50:M50">
    <cfRule type="expression" priority="7" dxfId="0">
      <formula>$A$24="OFF"</formula>
    </cfRule>
  </conditionalFormatting>
  <conditionalFormatting sqref="B25:R25 B38:T38 B51:M51">
    <cfRule type="expression" priority="6" dxfId="0">
      <formula>$A$25="OFF"</formula>
    </cfRule>
  </conditionalFormatting>
  <conditionalFormatting sqref="B26:R26 B39:T39 B52:M52">
    <cfRule type="expression" priority="5" dxfId="0">
      <formula>$A$26="OFF"</formula>
    </cfRule>
  </conditionalFormatting>
  <conditionalFormatting sqref="B27:R27 B40:T40 B53:M53">
    <cfRule type="expression" priority="4" dxfId="0">
      <formula>$A$27="OFF"</formula>
    </cfRule>
  </conditionalFormatting>
  <conditionalFormatting sqref="B28:R28 B41:T41 B54:M54">
    <cfRule type="expression" priority="3" dxfId="0">
      <formula>$A$28="OFF"</formula>
    </cfRule>
  </conditionalFormatting>
  <conditionalFormatting sqref="B29:R29 B42:T42 B55:M55">
    <cfRule type="expression" priority="2" dxfId="0">
      <formula>$A$29="OFF"</formula>
    </cfRule>
  </conditionalFormatting>
  <conditionalFormatting sqref="B30:R30 B43:T43 B56:M56">
    <cfRule type="expression" priority="1" dxfId="0">
      <formula>$A$30="OFF"</formula>
    </cfRule>
  </conditionalFormatting>
  <dataValidations count="1">
    <dataValidation sqref="A23:A30" showDropDown="0" showInputMessage="1" showErrorMessage="1" allowBlank="1" type="list">
      <formula1>"ON, OFF"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29" min="1" max="1"/>
  </cols>
  <sheetData>
    <row r="1">
      <c r="A1" s="0" t="inlineStr">
        <is>
          <t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29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334" zoomScaleNormal="100" workbookViewId="0">
      <selection activeCell="A266" sqref="A266"/>
    </sheetView>
  </sheetViews>
  <sheetFormatPr baseColWidth="8" defaultRowHeight="13.5"/>
  <cols>
    <col width="82.28515625" bestFit="1" customWidth="1" style="29" min="1" max="1"/>
    <col width="79" bestFit="1" customWidth="1" style="29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_xlfn.IFS('Control-Sheet'!$A$23="OFF",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27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IF('Control-Sheet'!R23="", "", "          &lt;t-da-offset&gt;" &amp; 'Control-Sheet'!R23 &amp; "&lt;/t-da-offset&gt;")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4">
      <c r="A54">
        <f>_xlfn.IFS('Control-Sheet'!$A$23="OFF", 'Control-Sheet'!$K$6, TRUE, "")</f>
        <v/>
      </c>
    </row>
    <row r="55">
      <c r="A55" s="0">
        <f>_xlfn.IFS('Control-Sheet'!$A$24="OFF", 'Control-Sheet'!$K$5, TRUE, "")</f>
        <v/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IF('Control-Sheet'!R24="", "", "          &lt;t-da-offset&gt;" &amp; 'Control-Sheet'!R24 &amp; "&lt;/t-da-offset&gt;")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>
        <f>_xlfn.IFS('Control-Sheet'!$A$24="OFF", 'Control-Sheet'!$K$6, TRUE, "")</f>
        <v/>
      </c>
    </row>
    <row r="99">
      <c r="A99" s="0">
        <f>_xlfn.IFS('Control-Sheet'!$A$25="OFF",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IF('Control-Sheet'!R25="", "", "          &lt;t-da-offset&gt;" &amp; 'Control-Sheet'!R25 &amp; "&lt;/t-da-offset&gt;")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2">
      <c r="A142">
        <f>_xlfn.IFS('Control-Sheet'!$A$25="OFF", 'Control-Sheet'!$K$6, TRUE, "")</f>
        <v/>
      </c>
    </row>
    <row r="143">
      <c r="A143" s="0">
        <f>_xlfn.IFS('Control-Sheet'!$A$26="OFF", 'Control-Sheet'!$K$5, TRUE, "")</f>
        <v/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IF('Control-Sheet'!R26="", "", "          &lt;t-da-offset&gt;" &amp; 'Control-Sheet'!R26 &amp; "&lt;/t-da-offset&gt;")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>
        <f>_xlfn.IFS('Control-Sheet'!$A$26="OFF", 'Control-Sheet'!$K$6, TRUE, "")</f>
        <v/>
      </c>
    </row>
    <row r="187">
      <c r="A187" s="0">
        <f>_xlfn.IFS('Control-Sheet'!$A$27="OFF",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IF('Control-Sheet'!R27="", "", "          &lt;t-da-offset&gt;" &amp; 'Control-Sheet'!R27 &amp; "&lt;/t-da-offset&gt;")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0">
      <c r="A230">
        <f>_xlfn.IFS('Control-Sheet'!$A$27="OFF", 'Control-Sheet'!$K$6, TRUE, "")</f>
        <v/>
      </c>
    </row>
    <row r="231">
      <c r="A231" s="0">
        <f>_xlfn.IFS('Control-Sheet'!$A$28="OFF", 'Control-Sheet'!$K$5, TRUE, "")</f>
        <v/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IF('Control-Sheet'!R28="", "", "          &lt;t-da-offset&gt;" &amp; 'Control-Sheet'!R28 &amp; "&lt;/t-da-offset&gt;")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>
        <f>_xlfn.IFS('Control-Sheet'!$A$28="OFF", 'Control-Sheet'!$K$6, TRUE, "")</f>
        <v/>
      </c>
    </row>
    <row r="275">
      <c r="A275" s="0">
        <f>_xlfn.IFS('Control-Sheet'!$A$29="OFF",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IF('Control-Sheet'!R29="", "", "          &lt;t-da-offset&gt;" &amp; 'Control-Sheet'!R29 &amp; "&lt;/t-da-offset&gt;")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18">
      <c r="A318">
        <f>_xlfn.IFS('Control-Sheet'!$A$29="OFF", 'Control-Sheet'!$K$6, TRUE, "")</f>
        <v/>
      </c>
    </row>
    <row r="319">
      <c r="A319" s="0">
        <f>_xlfn.IFS('Control-Sheet'!$A$30="OFF", 'Control-Sheet'!$K$5, TRUE, "")</f>
        <v/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IF('Control-Sheet'!R30="", "", "          &lt;t-da-offset&gt;" &amp; 'Control-Sheet'!R30 &amp; "&lt;/t-da-offset&gt;")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>
        <f>_xlfn.IFS('Control-Sheet'!$A$30="OFF", 'Control-Sheet'!$K$6, TRUE, "")</f>
        <v/>
      </c>
    </row>
    <row r="363">
      <c r="A363" s="0" t="n"/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403" zoomScale="130" zoomScaleNormal="130" workbookViewId="0">
      <selection activeCell="A391" sqref="A391:B391"/>
    </sheetView>
  </sheetViews>
  <sheetFormatPr baseColWidth="8" defaultRowHeight="13.5"/>
  <cols>
    <col width="79" bestFit="1" customWidth="1" style="19" min="1" max="1"/>
    <col width="82.7109375" bestFit="1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IF('Control-Sheet'!S36="", "", "          &lt;t-au-offset&gt;" &amp; 'Control-Sheet'!S36 &amp; "&lt;/t-au-offset&gt;")</f>
        <v/>
      </c>
    </row>
    <row r="49">
      <c r="A49" s="25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59">
      <c r="A59">
        <f>_xlfn.IFS('Control-Sheet'!$A$23="OFF", 'Control-Sheet'!$K$6, TRUE, "")</f>
        <v/>
      </c>
    </row>
    <row r="60">
      <c r="A60" s="0">
        <f>_xlfn.IFS('Control-Sheet'!$A$24="OFF", 'Control-Sheet'!$K$5, TRUE, "")</f>
        <v/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IF('Control-Sheet'!S37="", "", "          &lt;t-au-offset&gt;" &amp; 'Control-Sheet'!S37 &amp; "&lt;/t-au-offset&gt;")</f>
        <v/>
      </c>
    </row>
    <row r="98">
      <c r="A98" s="25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>
        <f>_xlfn.IFS('Control-Sheet'!$A$24="OFF", 'Control-Sheet'!$K$6, TRUE, "")</f>
        <v/>
      </c>
    </row>
    <row r="109">
      <c r="A109" s="0">
        <f>_xlfn.IFS('Control-Sheet'!$A$25="OFF",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IF('Control-Sheet'!S38="", "", "          &lt;t-au-offset&gt;" &amp; 'Control-Sheet'!S38 &amp; "&lt;/t-au-offset&gt;")</f>
        <v/>
      </c>
    </row>
    <row r="147">
      <c r="A147" s="25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7">
      <c r="A157">
        <f>_xlfn.IFS('Control-Sheet'!$A$25="OFF", 'Control-Sheet'!$K$6, TRUE, "")</f>
        <v/>
      </c>
    </row>
    <row r="158">
      <c r="A158" s="0">
        <f>_xlfn.IFS('Control-Sheet'!$A$26="OFF", 'Control-Sheet'!$K$5, TRUE, "")</f>
        <v/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IF('Control-Sheet'!S39="", "", "          &lt;t-au-offset&gt;" &amp; 'Control-Sheet'!S39 &amp; "&lt;/t-au-offset&gt;")</f>
        <v/>
      </c>
    </row>
    <row r="196">
      <c r="A196" s="25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>
        <f>_xlfn.IFS('Control-Sheet'!$A$26="OFF", 'Control-Sheet'!$K$6, TRUE, "")</f>
        <v/>
      </c>
    </row>
    <row r="207">
      <c r="A207" s="0">
        <f>_xlfn.IFS('Control-Sheet'!$A$27="OFF",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IF('Control-Sheet'!S40="", "", "          &lt;t-au-offset&gt;" &amp; 'Control-Sheet'!S40 &amp; "&lt;/t-au-offset&gt;")</f>
        <v/>
      </c>
    </row>
    <row r="245">
      <c r="A245" s="25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>
        <f>_xlfn.IFS('Control-Sheet'!$A$27="OFF", 'Control-Sheet'!$K$6, TRUE, "")</f>
        <v/>
      </c>
    </row>
    <row r="256">
      <c r="A256" s="0">
        <f>_xlfn.IFS('Control-Sheet'!$A$28="OFF", 'Control-Sheet'!$K$5, TRUE, "")</f>
        <v/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IF('Control-Sheet'!S41="", "", "          &lt;t-au-offset&gt;" &amp; 'Control-Sheet'!S41 &amp; "&lt;/t-au-offset&gt;")</f>
        <v/>
      </c>
    </row>
    <row r="294">
      <c r="A294" s="25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>
        <f>_xlfn.IFS('Control-Sheet'!$A$28="OFF", 'Control-Sheet'!$K$6, TRUE, "")</f>
        <v/>
      </c>
    </row>
    <row r="305">
      <c r="A305" s="0">
        <f>_xlfn.IFS('Control-Sheet'!$A$29="OFF",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IF('Control-Sheet'!S42="", "", "          &lt;t-au-offset&gt;" &amp; 'Control-Sheet'!S42 &amp; "&lt;/t-au-offset&gt;")</f>
        <v/>
      </c>
    </row>
    <row r="343">
      <c r="A343" s="25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3">
      <c r="A353">
        <f>_xlfn.IFS('Control-Sheet'!$A$29="OFF", 'Control-Sheet'!$K$6, TRUE, "")</f>
        <v/>
      </c>
    </row>
    <row r="354">
      <c r="A354" s="0">
        <f>_xlfn.IFS('Control-Sheet'!$A$30="OFF", 'Control-Sheet'!$K$5, TRUE, "")</f>
        <v/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IF('Control-Sheet'!S43="", "", "          &lt;t-au-offset&gt;" &amp; 'Control-Sheet'!S43 &amp; "&lt;/t-au-offset&gt;")</f>
        <v/>
      </c>
    </row>
    <row r="392">
      <c r="A392" s="25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>
        <f>_xlfn.IFS('Control-Sheet'!$A$30="OFF", 'Control-Sheet'!$K$6, TRUE, "")</f>
        <v/>
      </c>
    </row>
    <row r="403">
      <c r="A403" s="0" t="n"/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247" zoomScale="70" zoomScaleNormal="70" workbookViewId="0">
      <selection activeCell="A298" activeCellId="1" sqref="A263 A298"/>
    </sheetView>
  </sheetViews>
  <sheetFormatPr baseColWidth="8" defaultRowHeight="13.5"/>
  <cols>
    <col width="79" bestFit="1" customWidth="1" style="19" min="1" max="1"/>
    <col width="83.85546875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6">
      <c r="A46">
        <f>_xlfn.IFS('Control-Sheet'!$A$23="OFF", 'Control-Sheet'!$K$6, TRUE, "")</f>
        <v/>
      </c>
    </row>
    <row r="47">
      <c r="A47" s="0">
        <f>_xlfn.IFS('Control-Sheet'!$A$24="OFF", 'Control-Sheet'!$K$5, TRUE, "")</f>
        <v/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>
        <f>_xlfn.IFS('Control-Sheet'!$A$24="OFF", 'Control-Sheet'!$K$6, TRUE, "")</f>
        <v/>
      </c>
    </row>
    <row r="83">
      <c r="A83" s="0">
        <f>_xlfn.IFS('Control-Sheet'!$A$25="OFF",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18">
      <c r="A118">
        <f>_xlfn.IFS('Control-Sheet'!$A$25="OFF", 'Control-Sheet'!$K$6, TRUE, "")</f>
        <v/>
      </c>
    </row>
    <row r="119">
      <c r="A119" s="0">
        <f>_xlfn.IFS('Control-Sheet'!$A$26="OFF", 'Control-Sheet'!$K$5, TRUE, "")</f>
        <v/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>
        <f>_xlfn.IFS('Control-Sheet'!$A$26="OFF", 'Control-Sheet'!$K$6, TRUE, "")</f>
        <v/>
      </c>
    </row>
    <row r="155">
      <c r="A155" s="0">
        <f>_xlfn.IFS('Control-Sheet'!$A$27="OFF",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>
        <f>_xlfn.IFS('Control-Sheet'!$A$27="OFF", 'Control-Sheet'!$K$6, TRUE, "")</f>
        <v/>
      </c>
    </row>
    <row r="191">
      <c r="A191" s="0">
        <f>_xlfn.IFS('Control-Sheet'!$A$28="OFF", 'Control-Sheet'!$K$5, TRUE, "")</f>
        <v/>
      </c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>
        <f>_xlfn.IFS('Control-Sheet'!$A$28="OFF", 'Control-Sheet'!$K$6, TRUE, "")</f>
        <v/>
      </c>
    </row>
    <row r="227">
      <c r="A227" s="0">
        <f>_xlfn.IFS('Control-Sheet'!$A$29="OFF",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>
        <f>_xlfn.IFS('Control-Sheet'!$A$29="OFF", 'Control-Sheet'!$K$6, TRUE, "")</f>
        <v/>
      </c>
    </row>
    <row r="263">
      <c r="A263" s="0">
        <f>_xlfn.IFS('Control-Sheet'!$A$30="OFF", 'Control-Sheet'!$K$5, TRUE, "")</f>
        <v/>
      </c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>
        <f>_xlfn.IFS('Control-Sheet'!$A$30="OFF",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9"/>
  <sheetViews>
    <sheetView zoomScale="145" zoomScaleNormal="145" workbookViewId="0">
      <selection activeCell="A107" sqref="A107"/>
    </sheetView>
  </sheetViews>
  <sheetFormatPr baseColWidth="8" defaultRowHeight="13.5"/>
  <cols>
    <col width="64.85546875" bestFit="1" customWidth="1" style="29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_xlfn.IFS('Control-Sheet'!$A$23="OFF",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&lt;name&gt;"&amp;'Control-Sheet'!$K25&amp;"&lt;/name&gt;"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>
        <f>_xlfn.IFS('Control-Sheet'!$A$23="OFF", 'Control-Sheet'!$K$6, TRUE, "")</f>
        <v/>
      </c>
    </row>
    <row r="15">
      <c r="A15" s="0">
        <f>_xlfn.IFS('Control-Sheet'!$A$24="OFF", 'Control-Sheet'!$K$5, TRUE, "")</f>
        <v/>
      </c>
    </row>
    <row r="16">
      <c r="A16" s="0" t="inlineStr">
        <is>
          <t xml:space="preserve">        &lt;tx-array-carriers&gt;</t>
        </is>
      </c>
    </row>
    <row r="17">
      <c r="A17" s="20">
        <f>"          &lt;name&gt;"&amp;'Control-Sheet'!$K25&amp;"&lt;/name&gt;"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>
        <f>_xlfn.IFS('Control-Sheet'!$A$24="OFF", 'Control-Sheet'!$K$6, TRUE, "")</f>
        <v/>
      </c>
    </row>
    <row r="21">
      <c r="A21" s="0">
        <f>_xlfn.IFS('Control-Sheet'!$A$25="OFF", 'Control-Sheet'!$K$5, TRUE, "")</f>
        <v/>
      </c>
    </row>
    <row r="22">
      <c r="A22" s="0" t="inlineStr">
        <is>
          <t xml:space="preserve">        &lt;tx-array-carriers&gt;</t>
        </is>
      </c>
    </row>
    <row r="23">
      <c r="A23" s="20">
        <f>"          &lt;name&gt;"&amp;'Control-Sheet'!$K25&amp;"&lt;/name&gt;"</f>
        <v/>
      </c>
    </row>
    <row r="24">
      <c r="A24" s="0" t="inlineStr">
        <is>
          <t xml:space="preserve">          &lt;active&gt;ACTIVE&lt;/active&gt;</t>
        </is>
      </c>
    </row>
    <row r="25">
      <c r="A25" s="0" t="inlineStr">
        <is>
          <t xml:space="preserve">        &lt;/tx-array-carriers&gt;</t>
        </is>
      </c>
    </row>
    <row r="26">
      <c r="A26">
        <f>_xlfn.IFS('Control-Sheet'!$A$25="OFF", 'Control-Sheet'!$K$6, TRUE, "")</f>
        <v/>
      </c>
    </row>
    <row r="27">
      <c r="A27" s="0">
        <f>_xlfn.IFS('Control-Sheet'!$A$26="OFF", 'Control-Sheet'!$K$5, TRUE, "")</f>
        <v/>
      </c>
    </row>
    <row r="28">
      <c r="A28" s="0" t="inlineStr">
        <is>
          <t xml:space="preserve">        &lt;tx-array-carriers&gt;</t>
        </is>
      </c>
    </row>
    <row r="29">
      <c r="A29" s="20">
        <f>"          &lt;name&gt;"&amp;'Control-Sheet'!$K26&amp;"&lt;/name&gt;"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>
        <f>_xlfn.IFS('Control-Sheet'!$A$26="OFF", 'Control-Sheet'!$K$6, TRUE, "")</f>
        <v/>
      </c>
    </row>
    <row r="33">
      <c r="A33" s="0">
        <f>_xlfn.IFS('Control-Sheet'!$A$27="OFF", 'Control-Sheet'!$K$5, TRUE, "")</f>
        <v/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&lt;name&gt;"&amp;'Control-Sheet'!$K27&amp;"&lt;/name&gt;"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>
        <f>_xlfn.IFS('Control-Sheet'!$A$27="OFF", 'Control-Sheet'!$K$6, TRUE, "")</f>
        <v/>
      </c>
    </row>
    <row r="39">
      <c r="A39" s="0">
        <f>_xlfn.IFS('Control-Sheet'!$A$28="OFF",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&lt;name&gt;"&amp;'Control-Sheet'!$K28&amp;"&lt;/name&gt;"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>
        <f>_xlfn.IFS('Control-Sheet'!$A$28="OFF", 'Control-Sheet'!$K$6, TRUE, "")</f>
        <v/>
      </c>
    </row>
    <row r="45">
      <c r="A45" s="0">
        <f>_xlfn.IFS('Control-Sheet'!$A$29="OFF", 'Control-Sheet'!$K$5, TRUE, "")</f>
        <v/>
      </c>
    </row>
    <row r="46">
      <c r="A46" s="0" t="inlineStr">
        <is>
          <t xml:space="preserve">        &lt;tx-array-carriers&gt;</t>
        </is>
      </c>
    </row>
    <row r="47">
      <c r="A47" s="20">
        <f>"          &lt;name&gt;"&amp;'Control-Sheet'!$K29&amp;"&lt;/name&gt;"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&lt;/tx-array-carriers&gt;</t>
        </is>
      </c>
    </row>
    <row r="50">
      <c r="A50">
        <f>_xlfn.IFS('Control-Sheet'!$A$29="OFF", 'Control-Sheet'!$K$6, TRUE, "")</f>
        <v/>
      </c>
    </row>
    <row r="51">
      <c r="A51" s="0">
        <f>_xlfn.IFS('Control-Sheet'!$A$30="OFF", 'Control-Sheet'!$K$5, TRUE, "")</f>
        <v/>
      </c>
    </row>
    <row r="52">
      <c r="A52" s="0" t="inlineStr">
        <is>
          <t xml:space="preserve">        &lt;tx-array-carriers&gt;</t>
        </is>
      </c>
    </row>
    <row r="53">
      <c r="A53" s="20">
        <f>"          &lt;name&gt;"&amp;'Control-Sheet'!$K30&amp;"&lt;/name&gt;"</f>
        <v/>
      </c>
    </row>
    <row r="54">
      <c r="A54" s="0" t="inlineStr">
        <is>
          <t xml:space="preserve">          &lt;active&gt;ACTIVE&lt;/active&gt;</t>
        </is>
      </c>
      <c r="B54" s="20" t="n"/>
    </row>
    <row r="55">
      <c r="A55" s="0" t="inlineStr">
        <is>
          <t xml:space="preserve">        &lt;/tx-array-carriers&gt;</t>
        </is>
      </c>
    </row>
    <row r="56">
      <c r="A56">
        <f>_xlfn.IFS('Control-Sheet'!$A$30="OFF", 'Control-Sheet'!$K$6, TRUE, "")</f>
        <v/>
      </c>
    </row>
    <row r="57">
      <c r="A57" s="0">
        <f>_xlfn.IFS('Control-Sheet'!$A$23="OFF", 'Control-Sheet'!$K$5, TRUE, "")</f>
        <v/>
      </c>
    </row>
    <row r="58">
      <c r="A58" s="0" t="inlineStr">
        <is>
          <t xml:space="preserve">        &lt;rx-array-carriers&gt;</t>
        </is>
      </c>
    </row>
    <row r="59">
      <c r="A59" s="20">
        <f>"          &lt;name&gt;"&amp;'Control-Sheet'!$N36&amp;"&lt;/name&gt;"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>
        <f>_xlfn.IFS('Control-Sheet'!$A$23="OFF", 'Control-Sheet'!$K$6, TRUE, "")</f>
        <v/>
      </c>
    </row>
    <row r="63">
      <c r="A63" s="0">
        <f>_xlfn.IFS('Control-Sheet'!$A$24="OFF", 'Control-Sheet'!$K$5, TRUE, "")</f>
        <v/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&lt;name&gt;"&amp;'Control-Sheet'!$N37&amp;"&lt;/name&gt;"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>
        <f>_xlfn.IFS('Control-Sheet'!$A$24="OFF", 'Control-Sheet'!$K$6, TRUE, "")</f>
        <v/>
      </c>
    </row>
    <row r="69">
      <c r="A69" s="0">
        <f>_xlfn.IFS('Control-Sheet'!$A$25="OFF",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&lt;name&gt;"&amp;'Control-Sheet'!$N38&amp;"&lt;/name&gt;"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>
        <f>_xlfn.IFS('Control-Sheet'!$A$25="OFF", 'Control-Sheet'!$K$6, TRUE, "")</f>
        <v/>
      </c>
    </row>
    <row r="75">
      <c r="A75" s="0">
        <f>_xlfn.IFS('Control-Sheet'!$A$26="OFF", 'Control-Sheet'!$K$5, TRUE, "")</f>
        <v/>
      </c>
    </row>
    <row r="76">
      <c r="A76" s="0" t="inlineStr">
        <is>
          <t xml:space="preserve">        &lt;rx-array-carriers&gt;</t>
        </is>
      </c>
    </row>
    <row r="77">
      <c r="A77" s="20">
        <f>"          &lt;name&gt;"&amp;'Control-Sheet'!$N39&amp;"&lt;/name&gt;"</f>
        <v/>
      </c>
    </row>
    <row r="78">
      <c r="A78" s="0" t="inlineStr">
        <is>
          <t xml:space="preserve">          &lt;active&gt;ACTIVE&lt;/active&gt;</t>
        </is>
      </c>
    </row>
    <row r="79">
      <c r="A79" s="0" t="inlineStr">
        <is>
          <t xml:space="preserve">        &lt;/rx-array-carriers&gt;</t>
        </is>
      </c>
    </row>
    <row r="80">
      <c r="A80">
        <f>_xlfn.IFS('Control-Sheet'!$A$26="OFF", 'Control-Sheet'!$K$6, TRUE, "")</f>
        <v/>
      </c>
    </row>
    <row r="81">
      <c r="A81" s="0">
        <f>_xlfn.IFS('Control-Sheet'!$A$27="OFF", 'Control-Sheet'!$K$5, TRUE, "")</f>
        <v/>
      </c>
    </row>
    <row r="82">
      <c r="A82" s="0" t="inlineStr">
        <is>
          <t xml:space="preserve">        &lt;rx-array-carriers&gt;</t>
        </is>
      </c>
    </row>
    <row r="83">
      <c r="A83" s="20">
        <f>"          &lt;name&gt;"&amp;'Control-Sheet'!$N40&amp;"&lt;/name&gt;"</f>
        <v/>
      </c>
    </row>
    <row r="84">
      <c r="A84" s="0" t="inlineStr">
        <is>
          <t xml:space="preserve">          &lt;active&gt;ACTIVE&lt;/active&gt;</t>
        </is>
      </c>
    </row>
    <row r="85">
      <c r="A85" s="0" t="inlineStr">
        <is>
          <t xml:space="preserve">        &lt;/rx-array-carriers&gt;</t>
        </is>
      </c>
    </row>
    <row r="86">
      <c r="A86">
        <f>_xlfn.IFS('Control-Sheet'!$A$27="OFF", 'Control-Sheet'!$K$6, TRUE, "")</f>
        <v/>
      </c>
    </row>
    <row r="87">
      <c r="A87" s="0">
        <f>_xlfn.IFS('Control-Sheet'!$A$28="OFF", 'Control-Sheet'!$K$5, TRUE, "")</f>
        <v/>
      </c>
    </row>
    <row r="88">
      <c r="A88" s="0" t="inlineStr">
        <is>
          <t xml:space="preserve">        &lt;rx-array-carriers&gt;</t>
        </is>
      </c>
    </row>
    <row r="89">
      <c r="A89" s="20">
        <f>"          &lt;name&gt;"&amp;'Control-Sheet'!$N41&amp;"&lt;/name&gt;"</f>
        <v/>
      </c>
    </row>
    <row r="90">
      <c r="A90" s="0" t="inlineStr">
        <is>
          <t xml:space="preserve">          &lt;active&gt;ACTIVE&lt;/active&gt;</t>
        </is>
      </c>
    </row>
    <row r="91">
      <c r="A91" s="0" t="inlineStr">
        <is>
          <t xml:space="preserve">        &lt;/rx-array-carriers&gt;</t>
        </is>
      </c>
    </row>
    <row r="92">
      <c r="A92">
        <f>_xlfn.IFS('Control-Sheet'!$A$28="OFF", 'Control-Sheet'!$K$6, TRUE, "")</f>
        <v/>
      </c>
    </row>
    <row r="93">
      <c r="A93" s="0">
        <f>_xlfn.IFS('Control-Sheet'!$A$29="OFF", 'Control-Sheet'!$K$5, TRUE, "")</f>
        <v/>
      </c>
    </row>
    <row r="94">
      <c r="A94" s="0" t="inlineStr">
        <is>
          <t xml:space="preserve">        &lt;rx-array-carriers&gt;</t>
        </is>
      </c>
    </row>
    <row r="95">
      <c r="A95" s="20">
        <f>"          &lt;name&gt;"&amp;'Control-Sheet'!$N42&amp;"&lt;/name&gt;"</f>
        <v/>
      </c>
    </row>
    <row r="96">
      <c r="A96" s="0" t="inlineStr">
        <is>
          <t xml:space="preserve">          &lt;active&gt;ACTIVE&lt;/active&gt;</t>
        </is>
      </c>
    </row>
    <row r="97">
      <c r="A97" s="0" t="inlineStr">
        <is>
          <t xml:space="preserve">        &lt;/rx-array-carriers&gt;</t>
        </is>
      </c>
    </row>
    <row r="98">
      <c r="A98">
        <f>_xlfn.IFS('Control-Sheet'!$A$29="OFF", 'Control-Sheet'!$K$6, TRUE, "")</f>
        <v/>
      </c>
    </row>
    <row r="99">
      <c r="A99" s="0">
        <f>_xlfn.IFS('Control-Sheet'!$A$30="OFF", 'Control-Sheet'!$K$5, TRUE, "")</f>
        <v/>
      </c>
    </row>
    <row r="100">
      <c r="A100" s="0" t="inlineStr">
        <is>
          <t xml:space="preserve">        &lt;rx-array-carriers&gt;</t>
        </is>
      </c>
    </row>
    <row r="101">
      <c r="A101" s="20">
        <f>"          &lt;name&gt;"&amp;'Control-Sheet'!$N43&amp;"&lt;/name&gt;"</f>
        <v/>
      </c>
    </row>
    <row r="102">
      <c r="A102" s="0" t="inlineStr">
        <is>
          <t xml:space="preserve">          &lt;active&gt;ACTIVE&lt;/active&gt;</t>
        </is>
      </c>
    </row>
    <row r="103">
      <c r="A103" s="0" t="inlineStr">
        <is>
          <t xml:space="preserve">        &lt;/rx-array-carriers&gt;</t>
        </is>
      </c>
    </row>
    <row r="104">
      <c r="A104">
        <f>_xlfn.IFS('Control-Sheet'!$A$30="OFF", 'Control-Sheet'!$K$6, TRUE, "")</f>
        <v/>
      </c>
    </row>
    <row r="105">
      <c r="A105" s="0" t="n"/>
    </row>
    <row r="106">
      <c r="A106" s="0" t="inlineStr">
        <is>
          <t xml:space="preserve">      &lt;/user-plane-configuration&gt;</t>
        </is>
      </c>
    </row>
    <row r="107">
      <c r="A107" s="0" t="inlineStr">
        <is>
          <t xml:space="preserve">    &lt;/config&gt;</t>
        </is>
      </c>
    </row>
    <row r="108">
      <c r="A108" s="0" t="inlineStr">
        <is>
          <t xml:space="preserve">  &lt;/edit-config&gt;</t>
        </is>
      </c>
    </row>
    <row r="109">
      <c r="A109" s="0" t="inlineStr">
        <is>
          <t>&lt;/rpc&gt;</t>
        </is>
      </c>
    </row>
  </sheetData>
  <autoFilter ref="A1:A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이봉수</dc:creator>
  <dcterms:created xsi:type="dcterms:W3CDTF">2023-05-26T02:25:11Z</dcterms:created>
  <dcterms:modified xsi:type="dcterms:W3CDTF">2026-07-16T10:51:22Z</dcterms:modified>
  <cp:lastModifiedBy>김경민(시스템스)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0x0101001D8C8101D2BD934AA719E62FA84EAD9E</vt:lpwstr>
  </property>
  <property name="MediaServiceImageTags" fmtid="{D5CDD505-2E9C-101B-9397-08002B2CF9AE}" pid="3">
    <vt:lpwstr/>
  </property>
</Properties>
</file>