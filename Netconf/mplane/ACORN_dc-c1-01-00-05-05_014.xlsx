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thelastsun\Documents\Python\Netconf\mplane\"/>
    </mc:Choice>
  </mc:AlternateContent>
  <xr:revisionPtr revIDLastSave="0" documentId="13_ncr:1_{2E3A32D6-9724-43E5-A7A5-CE2D9897F343}" xr6:coauthVersionLast="47" xr6:coauthVersionMax="47" xr10:uidLastSave="{00000000-0000-0000-0000-000000000000}"/>
  <bookViews>
    <workbookView xWindow="12900" yWindow="2790" windowWidth="43185" windowHeight="23445" activeTab="1" xr2:uid="{00000000-000D-0000-FFFF-FFFF00000000}"/>
  </bookViews>
  <sheets>
    <sheet name="Control-Sheet" sheetId="1" r:id="rId1"/>
    <sheet name="CUplane-interface" sheetId="2" r:id="rId2"/>
    <sheet name="Processing-element" sheetId="3" r:id="rId3"/>
    <sheet name="PDSCH" sheetId="4" r:id="rId4"/>
    <sheet name="PUSCH" sheetId="5" r:id="rId5"/>
    <sheet name="PRACH" sheetId="6" r:id="rId6"/>
    <sheet name="ACTIVE" sheetId="7" r:id="rId7"/>
  </sheets>
  <definedNames>
    <definedName name="_xlnm._FilterDatabase" localSheetId="6" hidden="1">ACTIVE!$A$1:$A$109</definedName>
    <definedName name="_xlnm._FilterDatabase" localSheetId="3" hidden="1">PDSCH!$A$1:$A$367</definedName>
    <definedName name="_xlnm._FilterDatabase" localSheetId="5" hidden="1">PRACH!$A$1:$A$304</definedName>
    <definedName name="_xlnm._FilterDatabase" localSheetId="4" hidden="1">PUSCH!$A$1:$A$408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04" i="7" l="1"/>
  <c r="A101" i="7"/>
  <c r="A99" i="7"/>
  <c r="A98" i="7"/>
  <c r="A95" i="7"/>
  <c r="A93" i="7"/>
  <c r="A92" i="7"/>
  <c r="A89" i="7"/>
  <c r="A87" i="7"/>
  <c r="A86" i="7"/>
  <c r="A83" i="7"/>
  <c r="A81" i="7"/>
  <c r="A80" i="7"/>
  <c r="A77" i="7"/>
  <c r="A75" i="7"/>
  <c r="A74" i="7"/>
  <c r="A71" i="7"/>
  <c r="A69" i="7"/>
  <c r="A68" i="7"/>
  <c r="A65" i="7"/>
  <c r="A63" i="7"/>
  <c r="A62" i="7"/>
  <c r="A59" i="7"/>
  <c r="A57" i="7"/>
  <c r="A56" i="7"/>
  <c r="A53" i="7"/>
  <c r="A51" i="7"/>
  <c r="A50" i="7"/>
  <c r="A47" i="7"/>
  <c r="A45" i="7"/>
  <c r="A44" i="7"/>
  <c r="A41" i="7"/>
  <c r="A39" i="7"/>
  <c r="A38" i="7"/>
  <c r="A35" i="7"/>
  <c r="A33" i="7"/>
  <c r="A32" i="7"/>
  <c r="A29" i="7"/>
  <c r="A27" i="7"/>
  <c r="A26" i="7"/>
  <c r="A23" i="7"/>
  <c r="A21" i="7"/>
  <c r="A20" i="7"/>
  <c r="A17" i="7"/>
  <c r="A15" i="7"/>
  <c r="A14" i="7"/>
  <c r="A11" i="7"/>
  <c r="A9" i="7"/>
  <c r="A298" i="6"/>
  <c r="A296" i="6"/>
  <c r="A295" i="6"/>
  <c r="A294" i="6"/>
  <c r="A293" i="6"/>
  <c r="A289" i="6"/>
  <c r="A282" i="6"/>
  <c r="A281" i="6"/>
  <c r="A278" i="6"/>
  <c r="A277" i="6"/>
  <c r="A269" i="6"/>
  <c r="A268" i="6"/>
  <c r="A265" i="6"/>
  <c r="A263" i="6"/>
  <c r="A262" i="6"/>
  <c r="A260" i="6"/>
  <c r="A259" i="6"/>
  <c r="A258" i="6"/>
  <c r="A257" i="6"/>
  <c r="A253" i="6"/>
  <c r="A246" i="6"/>
  <c r="A245" i="6"/>
  <c r="A242" i="6"/>
  <c r="A241" i="6"/>
  <c r="A233" i="6"/>
  <c r="A232" i="6"/>
  <c r="A229" i="6"/>
  <c r="A227" i="6"/>
  <c r="A226" i="6"/>
  <c r="A224" i="6"/>
  <c r="A223" i="6"/>
  <c r="A222" i="6"/>
  <c r="A221" i="6"/>
  <c r="A217" i="6"/>
  <c r="A210" i="6"/>
  <c r="A209" i="6"/>
  <c r="A206" i="6"/>
  <c r="A205" i="6"/>
  <c r="A197" i="6"/>
  <c r="A196" i="6"/>
  <c r="A193" i="6"/>
  <c r="A191" i="6"/>
  <c r="A190" i="6"/>
  <c r="A188" i="6"/>
  <c r="A187" i="6"/>
  <c r="A186" i="6"/>
  <c r="A185" i="6"/>
  <c r="A181" i="6"/>
  <c r="A174" i="6"/>
  <c r="A173" i="6"/>
  <c r="A170" i="6"/>
  <c r="A169" i="6"/>
  <c r="A161" i="6"/>
  <c r="A160" i="6"/>
  <c r="A157" i="6"/>
  <c r="A155" i="6"/>
  <c r="A154" i="6"/>
  <c r="A152" i="6"/>
  <c r="A151" i="6"/>
  <c r="A150" i="6"/>
  <c r="A149" i="6"/>
  <c r="A145" i="6"/>
  <c r="A138" i="6"/>
  <c r="A137" i="6"/>
  <c r="A134" i="6"/>
  <c r="A133" i="6"/>
  <c r="A125" i="6"/>
  <c r="A124" i="6"/>
  <c r="A121" i="6"/>
  <c r="A119" i="6"/>
  <c r="A118" i="6"/>
  <c r="A116" i="6"/>
  <c r="A115" i="6"/>
  <c r="A114" i="6"/>
  <c r="A113" i="6"/>
  <c r="A109" i="6"/>
  <c r="A102" i="6"/>
  <c r="A101" i="6"/>
  <c r="A98" i="6"/>
  <c r="A97" i="6"/>
  <c r="A89" i="6"/>
  <c r="A88" i="6"/>
  <c r="A85" i="6"/>
  <c r="A83" i="6"/>
  <c r="A82" i="6"/>
  <c r="A80" i="6"/>
  <c r="A79" i="6"/>
  <c r="A78" i="6"/>
  <c r="A77" i="6"/>
  <c r="A73" i="6"/>
  <c r="A66" i="6"/>
  <c r="A65" i="6"/>
  <c r="A62" i="6"/>
  <c r="A61" i="6"/>
  <c r="A53" i="6"/>
  <c r="A52" i="6"/>
  <c r="A49" i="6"/>
  <c r="A47" i="6"/>
  <c r="A46" i="6"/>
  <c r="A44" i="6"/>
  <c r="A43" i="6"/>
  <c r="A42" i="6"/>
  <c r="A41" i="6"/>
  <c r="A37" i="6"/>
  <c r="A30" i="6"/>
  <c r="A29" i="6"/>
  <c r="A26" i="6"/>
  <c r="A25" i="6"/>
  <c r="A17" i="6"/>
  <c r="A16" i="6"/>
  <c r="A13" i="6"/>
  <c r="A11" i="6"/>
  <c r="A402" i="5"/>
  <c r="A400" i="5"/>
  <c r="A399" i="5"/>
  <c r="A398" i="5"/>
  <c r="A397" i="5"/>
  <c r="A391" i="5"/>
  <c r="A390" i="5"/>
  <c r="A389" i="5"/>
  <c r="A387" i="5"/>
  <c r="A386" i="5"/>
  <c r="A384" i="5"/>
  <c r="A380" i="5"/>
  <c r="A373" i="5"/>
  <c r="A372" i="5"/>
  <c r="A369" i="5"/>
  <c r="A368" i="5"/>
  <c r="A360" i="5"/>
  <c r="A359" i="5"/>
  <c r="A356" i="5"/>
  <c r="A354" i="5"/>
  <c r="A353" i="5"/>
  <c r="A351" i="5"/>
  <c r="A350" i="5"/>
  <c r="A349" i="5"/>
  <c r="A348" i="5"/>
  <c r="A342" i="5"/>
  <c r="A341" i="5"/>
  <c r="A340" i="5"/>
  <c r="A338" i="5"/>
  <c r="A337" i="5"/>
  <c r="A335" i="5"/>
  <c r="A331" i="5"/>
  <c r="A324" i="5"/>
  <c r="A323" i="5"/>
  <c r="A320" i="5"/>
  <c r="A319" i="5"/>
  <c r="A311" i="5"/>
  <c r="A310" i="5"/>
  <c r="A307" i="5"/>
  <c r="A305" i="5"/>
  <c r="A304" i="5"/>
  <c r="A302" i="5"/>
  <c r="A301" i="5"/>
  <c r="A300" i="5"/>
  <c r="A299" i="5"/>
  <c r="A293" i="5"/>
  <c r="A292" i="5"/>
  <c r="A291" i="5"/>
  <c r="A289" i="5"/>
  <c r="A288" i="5"/>
  <c r="A286" i="5"/>
  <c r="A282" i="5"/>
  <c r="A275" i="5"/>
  <c r="A274" i="5"/>
  <c r="A271" i="5"/>
  <c r="A270" i="5"/>
  <c r="A262" i="5"/>
  <c r="A261" i="5"/>
  <c r="A258" i="5"/>
  <c r="A256" i="5"/>
  <c r="A255" i="5"/>
  <c r="A253" i="5"/>
  <c r="A252" i="5"/>
  <c r="A251" i="5"/>
  <c r="A250" i="5"/>
  <c r="A244" i="5"/>
  <c r="A243" i="5"/>
  <c r="A242" i="5"/>
  <c r="A240" i="5"/>
  <c r="A239" i="5"/>
  <c r="A237" i="5"/>
  <c r="A233" i="5"/>
  <c r="A226" i="5"/>
  <c r="A225" i="5"/>
  <c r="A222" i="5"/>
  <c r="A221" i="5"/>
  <c r="A213" i="5"/>
  <c r="A212" i="5"/>
  <c r="A209" i="5"/>
  <c r="A207" i="5"/>
  <c r="A206" i="5"/>
  <c r="A204" i="5"/>
  <c r="A203" i="5"/>
  <c r="A202" i="5"/>
  <c r="A201" i="5"/>
  <c r="A195" i="5"/>
  <c r="A194" i="5"/>
  <c r="A193" i="5"/>
  <c r="A191" i="5"/>
  <c r="A190" i="5"/>
  <c r="A188" i="5"/>
  <c r="A184" i="5"/>
  <c r="A177" i="5"/>
  <c r="A176" i="5"/>
  <c r="A173" i="5"/>
  <c r="A172" i="5"/>
  <c r="A164" i="5"/>
  <c r="A163" i="5"/>
  <c r="A160" i="5"/>
  <c r="A158" i="5"/>
  <c r="A157" i="5"/>
  <c r="A155" i="5"/>
  <c r="A154" i="5"/>
  <c r="A153" i="5"/>
  <c r="A152" i="5"/>
  <c r="A146" i="5"/>
  <c r="A145" i="5"/>
  <c r="A144" i="5"/>
  <c r="A142" i="5"/>
  <c r="A141" i="5"/>
  <c r="A139" i="5"/>
  <c r="A135" i="5"/>
  <c r="A128" i="5"/>
  <c r="A127" i="5"/>
  <c r="A124" i="5"/>
  <c r="A123" i="5"/>
  <c r="A115" i="5"/>
  <c r="A114" i="5"/>
  <c r="A111" i="5"/>
  <c r="A109" i="5"/>
  <c r="A108" i="5"/>
  <c r="A106" i="5"/>
  <c r="A105" i="5"/>
  <c r="A104" i="5"/>
  <c r="A103" i="5"/>
  <c r="A97" i="5"/>
  <c r="A96" i="5"/>
  <c r="A95" i="5"/>
  <c r="A93" i="5"/>
  <c r="A92" i="5"/>
  <c r="A90" i="5"/>
  <c r="A86" i="5"/>
  <c r="A79" i="5"/>
  <c r="A78" i="5"/>
  <c r="A75" i="5"/>
  <c r="A74" i="5"/>
  <c r="A66" i="5"/>
  <c r="A65" i="5"/>
  <c r="A62" i="5"/>
  <c r="A60" i="5"/>
  <c r="A59" i="5"/>
  <c r="A57" i="5"/>
  <c r="A56" i="5"/>
  <c r="A55" i="5"/>
  <c r="A54" i="5"/>
  <c r="A48" i="5"/>
  <c r="A47" i="5"/>
  <c r="A46" i="5"/>
  <c r="A44" i="5"/>
  <c r="A43" i="5"/>
  <c r="A41" i="5"/>
  <c r="A37" i="5"/>
  <c r="A30" i="5"/>
  <c r="A29" i="5"/>
  <c r="A26" i="5"/>
  <c r="A25" i="5"/>
  <c r="A17" i="5"/>
  <c r="A16" i="5"/>
  <c r="A13" i="5"/>
  <c r="A11" i="5"/>
  <c r="A362" i="4"/>
  <c r="A360" i="4"/>
  <c r="A359" i="4"/>
  <c r="A358" i="4"/>
  <c r="A357" i="4"/>
  <c r="A354" i="4"/>
  <c r="A353" i="4"/>
  <c r="A350" i="4"/>
  <c r="A348" i="4"/>
  <c r="A347" i="4"/>
  <c r="A345" i="4"/>
  <c r="A341" i="4"/>
  <c r="A334" i="4"/>
  <c r="A333" i="4"/>
  <c r="A325" i="4"/>
  <c r="A324" i="4"/>
  <c r="A321" i="4"/>
  <c r="A319" i="4"/>
  <c r="A318" i="4"/>
  <c r="A316" i="4"/>
  <c r="A315" i="4"/>
  <c r="A314" i="4"/>
  <c r="A313" i="4"/>
  <c r="A310" i="4"/>
  <c r="A309" i="4"/>
  <c r="A306" i="4"/>
  <c r="A304" i="4"/>
  <c r="A303" i="4"/>
  <c r="A301" i="4"/>
  <c r="A297" i="4"/>
  <c r="A290" i="4"/>
  <c r="A289" i="4"/>
  <c r="A281" i="4"/>
  <c r="A280" i="4"/>
  <c r="A277" i="4"/>
  <c r="A275" i="4"/>
  <c r="A274" i="4"/>
  <c r="A272" i="4"/>
  <c r="A271" i="4"/>
  <c r="A270" i="4"/>
  <c r="A269" i="4"/>
  <c r="A266" i="4"/>
  <c r="A265" i="4"/>
  <c r="A262" i="4"/>
  <c r="A260" i="4"/>
  <c r="A259" i="4"/>
  <c r="A257" i="4"/>
  <c r="A253" i="4"/>
  <c r="A246" i="4"/>
  <c r="A245" i="4"/>
  <c r="A237" i="4"/>
  <c r="A236" i="4"/>
  <c r="A233" i="4"/>
  <c r="A231" i="4"/>
  <c r="A230" i="4"/>
  <c r="A228" i="4"/>
  <c r="A227" i="4"/>
  <c r="A226" i="4"/>
  <c r="A225" i="4"/>
  <c r="A222" i="4"/>
  <c r="A221" i="4"/>
  <c r="A218" i="4"/>
  <c r="A216" i="4"/>
  <c r="A215" i="4"/>
  <c r="A213" i="4"/>
  <c r="A209" i="4"/>
  <c r="A202" i="4"/>
  <c r="A201" i="4"/>
  <c r="A193" i="4"/>
  <c r="A192" i="4"/>
  <c r="A189" i="4"/>
  <c r="A187" i="4"/>
  <c r="A186" i="4"/>
  <c r="A184" i="4"/>
  <c r="A183" i="4"/>
  <c r="A182" i="4"/>
  <c r="A181" i="4"/>
  <c r="A178" i="4"/>
  <c r="A177" i="4"/>
  <c r="A174" i="4"/>
  <c r="A172" i="4"/>
  <c r="A171" i="4"/>
  <c r="A169" i="4"/>
  <c r="A165" i="4"/>
  <c r="A158" i="4"/>
  <c r="A157" i="4"/>
  <c r="A149" i="4"/>
  <c r="A148" i="4"/>
  <c r="A145" i="4"/>
  <c r="A143" i="4"/>
  <c r="A142" i="4"/>
  <c r="A140" i="4"/>
  <c r="A139" i="4"/>
  <c r="A138" i="4"/>
  <c r="A137" i="4"/>
  <c r="A134" i="4"/>
  <c r="A133" i="4"/>
  <c r="A130" i="4"/>
  <c r="A128" i="4"/>
  <c r="A127" i="4"/>
  <c r="A125" i="4"/>
  <c r="A121" i="4"/>
  <c r="A114" i="4"/>
  <c r="A113" i="4"/>
  <c r="A105" i="4"/>
  <c r="A104" i="4"/>
  <c r="A101" i="4"/>
  <c r="A99" i="4"/>
  <c r="A98" i="4"/>
  <c r="A96" i="4"/>
  <c r="A95" i="4"/>
  <c r="A94" i="4"/>
  <c r="A93" i="4"/>
  <c r="A90" i="4"/>
  <c r="A89" i="4"/>
  <c r="A86" i="4"/>
  <c r="A84" i="4"/>
  <c r="A83" i="4"/>
  <c r="A81" i="4"/>
  <c r="A77" i="4"/>
  <c r="A70" i="4"/>
  <c r="A69" i="4"/>
  <c r="A61" i="4"/>
  <c r="A60" i="4"/>
  <c r="A57" i="4"/>
  <c r="A55" i="4"/>
  <c r="A54" i="4"/>
  <c r="A52" i="4"/>
  <c r="A51" i="4"/>
  <c r="A50" i="4"/>
  <c r="A49" i="4"/>
  <c r="A46" i="4"/>
  <c r="A45" i="4"/>
  <c r="A42" i="4"/>
  <c r="A40" i="4"/>
  <c r="A39" i="4"/>
  <c r="A37" i="4"/>
  <c r="A33" i="4"/>
  <c r="A26" i="4"/>
  <c r="A25" i="4"/>
  <c r="A17" i="4"/>
  <c r="A16" i="4"/>
  <c r="A13" i="4"/>
  <c r="A11" i="4"/>
  <c r="A18" i="3"/>
  <c r="A17" i="3"/>
  <c r="A16" i="3"/>
  <c r="A14" i="3"/>
  <c r="A12" i="3"/>
  <c r="A14" i="2"/>
  <c r="A13" i="2"/>
  <c r="A12" i="2"/>
  <c r="A10" i="2"/>
  <c r="K57" i="1"/>
  <c r="O56" i="1"/>
  <c r="O55" i="1"/>
  <c r="O54" i="1"/>
  <c r="O53" i="1"/>
  <c r="O52" i="1"/>
  <c r="O51" i="1"/>
  <c r="O50" i="1"/>
  <c r="O49" i="1"/>
  <c r="K44" i="1"/>
  <c r="S33" i="1"/>
  <c r="R33" i="1"/>
  <c r="R34" i="1" s="1"/>
  <c r="J31" i="1"/>
  <c r="V30" i="1"/>
  <c r="V29" i="1"/>
  <c r="V28" i="1"/>
  <c r="V27" i="1"/>
  <c r="V26" i="1"/>
  <c r="V25" i="1"/>
  <c r="W24" i="1"/>
  <c r="W25" i="1" s="1"/>
  <c r="W26" i="1" s="1"/>
  <c r="W27" i="1" s="1"/>
  <c r="W28" i="1" s="1"/>
  <c r="W29" i="1" s="1"/>
  <c r="W30" i="1" s="1"/>
  <c r="V24" i="1"/>
  <c r="V23" i="1"/>
  <c r="V34" i="1" l="1"/>
  <c r="W34" i="1" s="1"/>
  <c r="Y34" i="1" s="1"/>
  <c r="V33" i="1"/>
  <c r="W33" i="1" s="1"/>
  <c r="Y33" i="1" s="1"/>
</calcChain>
</file>

<file path=xl/sharedStrings.xml><?xml version="1.0" encoding="utf-8"?>
<sst xmlns="http://schemas.openxmlformats.org/spreadsheetml/2006/main" count="1227" uniqueCount="206">
  <si>
    <t>1. Cuplane-interface</t>
  </si>
  <si>
    <t>NR</t>
  </si>
  <si>
    <t>LTE</t>
  </si>
  <si>
    <t>삭제 금지</t>
  </si>
  <si>
    <t>BW</t>
  </si>
  <si>
    <t>KHZ_15</t>
  </si>
  <si>
    <t>KHZ_30</t>
  </si>
  <si>
    <t>name</t>
  </si>
  <si>
    <t>1000</t>
  </si>
  <si>
    <t>VLAN NAME</t>
  </si>
  <si>
    <t xml:space="preserve">            &lt;exponent&gt;4&lt;/exponent&gt;</t>
  </si>
  <si>
    <t>&lt;!--</t>
  </si>
  <si>
    <t>Base-interface</t>
  </si>
  <si>
    <t>sys</t>
  </si>
  <si>
    <t>고정</t>
  </si>
  <si>
    <t xml:space="preserve">            &lt;compression-method&gt;BLOCK_FLOATING_POINT&lt;/compression-method&gt;</t>
  </si>
  <si>
    <t>--&gt;</t>
  </si>
  <si>
    <t>vlan id</t>
  </si>
  <si>
    <t>ORU mac-address</t>
  </si>
  <si>
    <t>dc:c1:01:00:05:05</t>
  </si>
  <si>
    <t>nDLPU MAC</t>
  </si>
  <si>
    <t>2. Processing element</t>
  </si>
  <si>
    <t>ru-pe.0</t>
  </si>
  <si>
    <t>oran player</t>
  </si>
  <si>
    <t>ODU mac-address</t>
  </si>
  <si>
    <t>00:11:22:33:44:55</t>
  </si>
  <si>
    <t>변경 가능 고정 사용</t>
  </si>
  <si>
    <t>Tc = 1 / (480kHz · 4096) = 0.509 ns</t>
  </si>
  <si>
    <t>3. PDSCH</t>
  </si>
  <si>
    <t xml:space="preserve">TC =~ 0.5 ns = 1/1.96608GHz
</t>
  </si>
  <si>
    <t>&lt;exponent&gt;4&lt;exponent&gt;</t>
  </si>
  <si>
    <t>end-point</t>
  </si>
  <si>
    <t>link</t>
  </si>
  <si>
    <t>array-carrier</t>
  </si>
  <si>
    <t>scs</t>
  </si>
  <si>
    <t>number-of-prb</t>
  </si>
  <si>
    <t>eaxc-id</t>
  </si>
  <si>
    <t>processing-element</t>
  </si>
  <si>
    <t>rx-array-carrier</t>
  </si>
  <si>
    <t>low-level-rx-endpoint</t>
  </si>
  <si>
    <t>iq-bitwidth</t>
  </si>
  <si>
    <t>compression</t>
  </si>
  <si>
    <t>Center-FREQ</t>
  </si>
  <si>
    <t>Channel-BW</t>
  </si>
  <si>
    <t>type</t>
  </si>
  <si>
    <t>gain</t>
  </si>
  <si>
    <t>T-da-offset</t>
  </si>
  <si>
    <t>ON</t>
  </si>
  <si>
    <t>C0</t>
  </si>
  <si>
    <t>llte_0_0_0_1_0_0</t>
  </si>
  <si>
    <t>106</t>
  </si>
  <si>
    <t>2</t>
  </si>
  <si>
    <t>tac_0_0_0_1</t>
  </si>
  <si>
    <t>16</t>
  </si>
  <si>
    <t>no comp</t>
  </si>
  <si>
    <t>3415</t>
  </si>
  <si>
    <t>10</t>
  </si>
  <si>
    <t>7</t>
  </si>
  <si>
    <t>C1</t>
  </si>
  <si>
    <t>llte_0_0_1_1_0_0</t>
  </si>
  <si>
    <t>3</t>
  </si>
  <si>
    <t>tac_0_0_1_1</t>
  </si>
  <si>
    <t>3445</t>
  </si>
  <si>
    <t>C2</t>
  </si>
  <si>
    <t>llte_0_0_0_2_0_0</t>
  </si>
  <si>
    <t>4</t>
  </si>
  <si>
    <t>tac_0_0_0_2</t>
  </si>
  <si>
    <t>C3</t>
  </si>
  <si>
    <t>llte_0_0_1_2_0_0</t>
  </si>
  <si>
    <t>5</t>
  </si>
  <si>
    <t>tac_0_0_1_2</t>
  </si>
  <si>
    <t>C4</t>
  </si>
  <si>
    <t>llte_0_0_0_3_0_0</t>
  </si>
  <si>
    <t>6</t>
  </si>
  <si>
    <t>tac_0_0_0_3</t>
  </si>
  <si>
    <t>UL Center</t>
  </si>
  <si>
    <t>C5</t>
  </si>
  <si>
    <t>llte_0_0_1_3_0_0</t>
  </si>
  <si>
    <t>tac_0_0_1_3</t>
  </si>
  <si>
    <t>C6</t>
  </si>
  <si>
    <t>llte_0_0_0_4_0_0</t>
  </si>
  <si>
    <t>8</t>
  </si>
  <si>
    <t>tac_0_0_0_4</t>
  </si>
  <si>
    <t>C7</t>
  </si>
  <si>
    <t>llte_0_0_1_4_0_0</t>
  </si>
  <si>
    <t>9</t>
  </si>
  <si>
    <t>tac_0_0_1_4</t>
  </si>
  <si>
    <t>dec (oran은 hex로)</t>
  </si>
  <si>
    <t>가능하나 고정</t>
  </si>
  <si>
    <t>4. PUSCH</t>
  </si>
  <si>
    <t>ul-fft-sampling-offset</t>
  </si>
  <si>
    <t>n-ta-offset</t>
  </si>
  <si>
    <t>T-au-offset</t>
  </si>
  <si>
    <t>Gain-Correction</t>
  </si>
  <si>
    <t>llre_0_0_0_1_0_0</t>
  </si>
  <si>
    <t>0</t>
  </si>
  <si>
    <t>18</t>
  </si>
  <si>
    <t>rac_0_0_0_1</t>
  </si>
  <si>
    <t>25600</t>
  </si>
  <si>
    <t>llre_0_0_1_1_0_0</t>
  </si>
  <si>
    <t>19</t>
  </si>
  <si>
    <t>rac_0_0_1_1</t>
  </si>
  <si>
    <t>llre_0_0_0_2_0_0</t>
  </si>
  <si>
    <t>20</t>
  </si>
  <si>
    <t>rac_0_0_0_2</t>
  </si>
  <si>
    <t>llre_0_0_1_2_0_0</t>
  </si>
  <si>
    <t>21</t>
  </si>
  <si>
    <t>rac_0_0_1_2</t>
  </si>
  <si>
    <t>llre_0_0_0_3_0_0</t>
  </si>
  <si>
    <t>22</t>
  </si>
  <si>
    <t>rac_0_0_0_3</t>
  </si>
  <si>
    <t>llre_0_0_1_3_0_0</t>
  </si>
  <si>
    <t>23</t>
  </si>
  <si>
    <t>rac_0_0_1_3</t>
  </si>
  <si>
    <t>llre_0_0_0_4_0_0</t>
  </si>
  <si>
    <t>24</t>
  </si>
  <si>
    <t>rac_0_0_0_4</t>
  </si>
  <si>
    <t>llre_0_0_1_4_0_0</t>
  </si>
  <si>
    <t>25</t>
  </si>
  <si>
    <t>rac_0_0_1_4</t>
  </si>
  <si>
    <t>5. PRACH</t>
  </si>
  <si>
    <t>llre_0_0_0_1_1_0</t>
  </si>
  <si>
    <t>34</t>
  </si>
  <si>
    <t>llre_0_0_1_1_1_0</t>
  </si>
  <si>
    <t>35</t>
  </si>
  <si>
    <t>llre_0_0_0_2_1_0</t>
  </si>
  <si>
    <t>36</t>
  </si>
  <si>
    <t>llre_0_0_1_2_1_0</t>
  </si>
  <si>
    <t>37</t>
  </si>
  <si>
    <t>llre_0_0_0_3_1_0</t>
  </si>
  <si>
    <t>38</t>
  </si>
  <si>
    <t>llre_0_0_1_3_1_0</t>
  </si>
  <si>
    <t>39</t>
  </si>
  <si>
    <t>llre_0_0_0_4_1_0</t>
  </si>
  <si>
    <t>40</t>
  </si>
  <si>
    <t>llre_0_0_1_4_1_0</t>
  </si>
  <si>
    <t>41</t>
  </si>
  <si>
    <t>&lt;rpc xmlns="urn:ietf:params:xml:ns:netconf:base:1.0" message-id="1"&gt;</t>
  </si>
  <si>
    <t xml:space="preserve">  &lt;edit-config&gt;</t>
  </si>
  <si>
    <t xml:space="preserve">    &lt;target&gt;</t>
  </si>
  <si>
    <t xml:space="preserve">      &lt;running/&gt;</t>
  </si>
  <si>
    <t xml:space="preserve">    &lt;/target&gt;</t>
  </si>
  <si>
    <t xml:space="preserve">    &lt;default-operation&gt;merge&lt;/default-operation&gt;</t>
  </si>
  <si>
    <t xml:space="preserve">    &lt;config&gt;</t>
  </si>
  <si>
    <t xml:space="preserve">      &lt;interfaces xmlns="urn:ietf:params:xml:ns:yang:ietf-interfaces"&gt;</t>
  </si>
  <si>
    <t xml:space="preserve">        &lt;interface&gt;</t>
  </si>
  <si>
    <t xml:space="preserve">          &lt;type xmlns:ianaift="urn:ietf:params:xml:ns:yang:iana-if-type"&gt;ianaift:l2vlan&lt;/type&gt;</t>
  </si>
  <si>
    <t xml:space="preserve">          &lt;port-reference xmlns="urn:o-ran:interfaces:1.0"&gt;</t>
  </si>
  <si>
    <t xml:space="preserve">            &lt;port-number&gt;0&lt;/port-number&gt;</t>
  </si>
  <si>
    <t xml:space="preserve">          &lt;/port-reference&gt;</t>
  </si>
  <si>
    <t xml:space="preserve">        &lt;/interface&gt;</t>
  </si>
  <si>
    <t xml:space="preserve">      &lt;/interfaces&gt;</t>
  </si>
  <si>
    <t xml:space="preserve">    &lt;/config&gt;</t>
  </si>
  <si>
    <t xml:space="preserve">  &lt;/edit-config&gt;</t>
  </si>
  <si>
    <t>&lt;/rpc&gt;</t>
  </si>
  <si>
    <t>&lt;?xml version="1.0" encoding="UTF-8"?&gt;</t>
  </si>
  <si>
    <t xml:space="preserve">      &lt;processing-elements xmlns="urn:o-ran:processing-element:1.0"&gt;</t>
  </si>
  <si>
    <t xml:space="preserve">        &lt;transport-session-type&gt;ETH-INTERFACE&lt;/transport-session-type&gt;</t>
  </si>
  <si>
    <t xml:space="preserve">        &lt;ru-elements&gt;</t>
  </si>
  <si>
    <t xml:space="preserve">          &lt;transport-flow&gt;</t>
  </si>
  <si>
    <t xml:space="preserve">            &lt;eth-flow&gt;</t>
  </si>
  <si>
    <t xml:space="preserve">            &lt;/eth-flow&gt;</t>
  </si>
  <si>
    <t xml:space="preserve">          &lt;/transport-flow&gt;</t>
  </si>
  <si>
    <t xml:space="preserve">        &lt;/ru-elements&gt;</t>
  </si>
  <si>
    <t xml:space="preserve">      &lt;/processing-elements&gt;</t>
  </si>
  <si>
    <t xml:space="preserve">      &lt;user-plane-configuration xmlns="urn:o-ran:uplane-conf:1.0"&gt;</t>
  </si>
  <si>
    <t xml:space="preserve">        &lt;low-level-tx-endpoints&gt;</t>
  </si>
  <si>
    <t xml:space="preserve">          &lt;compression&gt;</t>
  </si>
  <si>
    <t xml:space="preserve">            &lt;compression-type&gt;STATIC&lt;/compression-type&gt;</t>
  </si>
  <si>
    <t xml:space="preserve">          &lt;/compression&gt;</t>
  </si>
  <si>
    <t xml:space="preserve">          &lt;frame-structure&gt;160&lt;/frame-structure&gt;</t>
  </si>
  <si>
    <t xml:space="preserve">          &lt;cp-type&gt;NORMAL&lt;/cp-type&gt;</t>
  </si>
  <si>
    <t xml:space="preserve">          &lt;cp-length&gt;160&lt;/cp-length&gt;</t>
  </si>
  <si>
    <t xml:space="preserve">          &lt;cp-length-other&gt;144&lt;/cp-length-other&gt;</t>
  </si>
  <si>
    <t xml:space="preserve">          &lt;offset-to-absolute-frequency-center&gt;0&lt;/offset-to-absolute-frequency-center&gt;</t>
  </si>
  <si>
    <t xml:space="preserve">          &lt;number-of-prb-per-scs&gt;</t>
  </si>
  <si>
    <t xml:space="preserve">          &lt;/number-of-prb-per-scs&gt;</t>
  </si>
  <si>
    <t xml:space="preserve">          &lt;e-axcid&gt;</t>
  </si>
  <si>
    <t xml:space="preserve">            &lt;o-du-port-bitmask&gt;49152&lt;/o-du-port-bitmask&gt;</t>
  </si>
  <si>
    <t xml:space="preserve">            &lt;band-sector-bitmask&gt;12288&lt;/band-sector-bitmask&gt;</t>
  </si>
  <si>
    <t xml:space="preserve">            &lt;ccid-bitmask&gt;3840&lt;/ccid-bitmask&gt;</t>
  </si>
  <si>
    <t xml:space="preserve">            &lt;ru-port-bitmask&gt;255&lt;/ru-port-bitmask&gt;</t>
  </si>
  <si>
    <t xml:space="preserve">          &lt;/e-axcid&gt;</t>
  </si>
  <si>
    <t xml:space="preserve">        &lt;/low-level-tx-endpoints&gt;</t>
  </si>
  <si>
    <t xml:space="preserve">        &lt;tx-array-carriers&gt;</t>
  </si>
  <si>
    <t xml:space="preserve">          &lt;absolute-frequency-center&gt;0&lt;/absolute-frequency-center&gt;</t>
  </si>
  <si>
    <t xml:space="preserve">          &lt;active&gt;INACTIVE&lt;/active&gt;</t>
  </si>
  <si>
    <t xml:space="preserve">          &lt;downlink-radio-frame-offset&gt;0&lt;/downlink-radio-frame-offset&gt;</t>
  </si>
  <si>
    <t xml:space="preserve">          &lt;downlink-sfn-offset&gt;0&lt;/downlink-sfn-offset&gt;</t>
  </si>
  <si>
    <t xml:space="preserve">        &lt;/tx-array-carriers&gt;</t>
  </si>
  <si>
    <t xml:space="preserve">        &lt;low-level-tx-links&gt;</t>
  </si>
  <si>
    <t xml:space="preserve">        &lt;/low-level-tx-links&gt;</t>
  </si>
  <si>
    <t xml:space="preserve">      &lt;/user-plane-configuration&gt;</t>
  </si>
  <si>
    <t>&lt;rpc xmlns="urn:ietf:params:xml:ns:netconf:base:1.0" message-id="2"&gt;</t>
  </si>
  <si>
    <t xml:space="preserve">        &lt;low-level-rx-endpoints&gt;</t>
  </si>
  <si>
    <t xml:space="preserve">          &lt;ul-fft-sampling-offsets&gt;</t>
  </si>
  <si>
    <t xml:space="preserve">          &lt;/ul-fft-sampling-offsets&gt;</t>
  </si>
  <si>
    <t xml:space="preserve">        &lt;/low-level-rx-endpoints&gt;</t>
  </si>
  <si>
    <t xml:space="preserve">        &lt;rx-array-carriers&gt;</t>
  </si>
  <si>
    <t xml:space="preserve">          &lt;gain-correction&gt;0&lt;/gain-correction&gt;</t>
  </si>
  <si>
    <t xml:space="preserve">        &lt;/rx-array-carriers&gt;</t>
  </si>
  <si>
    <t xml:space="preserve">        &lt;low-level-rx-links&gt;</t>
  </si>
  <si>
    <t xml:space="preserve">        &lt;/low-level-rx-links&gt;</t>
  </si>
  <si>
    <t>&lt;rpc message-id="30" xmlns="urn:ietf:params:xml:ns:netconf:base:1.0"&gt;</t>
  </si>
  <si>
    <t xml:space="preserve">          &lt;active&gt;ACTIVE&lt;/active&gt;</t>
  </si>
  <si>
    <t>ru-pe.0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</si>
</sst>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1" x14ac:knownFonts="1">
    <font>
      <sz val="10"/>
      <color theme="1"/>
      <name val="맑은 고딕"/>
      <family val="2"/>
      <charset val="129"/>
    </font>
    <font>
      <sz val="10"/>
      <color rgb="FFFF0000"/>
      <name val="맑은 고딕"/>
      <family val="2"/>
      <charset val="129"/>
    </font>
    <font>
      <sz val="10"/>
      <name val="맑은 고딕"/>
      <family val="3"/>
      <charset val="129"/>
    </font>
    <font>
      <sz val="8"/>
      <name val="맑은 고딕"/>
      <family val="2"/>
      <charset val="129"/>
    </font>
    <font>
      <sz val="10"/>
      <color rgb="FFFF0000"/>
      <name val="맑은 고딕"/>
      <family val="3"/>
      <charset val="129"/>
    </font>
    <font>
      <sz val="10"/>
      <name val="맑은 고딕"/>
      <family val="2"/>
      <charset val="129"/>
    </font>
    <font>
      <b/>
      <sz val="10"/>
      <color theme="1"/>
      <name val="맑은 고딕"/>
      <family val="3"/>
      <charset val="129"/>
    </font>
    <font>
      <b/>
      <sz val="10"/>
      <color rgb="FFFF0000"/>
      <name val="맑은 고딕"/>
      <family val="3"/>
      <charset val="129"/>
    </font>
    <font>
      <sz val="11"/>
      <name val="돋움"/>
      <family val="3"/>
      <charset val="129"/>
    </font>
    <font>
      <sz val="10"/>
      <color theme="1"/>
      <name val="맑은 고딕"/>
      <family val="3"/>
      <charset val="129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>
      <alignment vertical="center"/>
    </xf>
    <xf numFmtId="0" fontId="8" fillId="0" borderId="0">
      <alignment vertical="center"/>
    </xf>
    <xf numFmtId="9" fontId="8" fillId="0" borderId="0">
      <alignment vertical="center"/>
    </xf>
    <xf numFmtId="41" fontId="8" fillId="0" borderId="0">
      <alignment vertical="center"/>
    </xf>
  </cellStyleXfs>
  <cellXfs count="35">
    <xf numFmtId="0" fontId="0" fillId="0" borderId="0" xfId="0">
      <alignment vertical="center"/>
    </xf>
    <xf numFmtId="0" fontId="2" fillId="2" borderId="0" xfId="0" applyFont="1" applyFill="1">
      <alignment vertical="center"/>
    </xf>
    <xf numFmtId="0" fontId="2" fillId="3" borderId="0" xfId="0" applyFont="1" applyFill="1">
      <alignment vertical="center"/>
    </xf>
    <xf numFmtId="0" fontId="2" fillId="4" borderId="0" xfId="0" applyFont="1" applyFill="1">
      <alignment vertical="center"/>
    </xf>
    <xf numFmtId="0" fontId="0" fillId="5" borderId="0" xfId="0" applyFill="1">
      <alignment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4" fillId="2" borderId="0" xfId="0" applyFont="1" applyFill="1">
      <alignment vertical="center"/>
    </xf>
    <xf numFmtId="0" fontId="5" fillId="2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1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1" fillId="4" borderId="0" xfId="0" applyFont="1" applyFill="1">
      <alignment vertical="center"/>
    </xf>
    <xf numFmtId="0" fontId="4" fillId="4" borderId="0" xfId="0" applyFont="1" applyFill="1">
      <alignment vertical="center"/>
    </xf>
    <xf numFmtId="0" fontId="5" fillId="0" borderId="0" xfId="0" applyFont="1">
      <alignment vertical="center"/>
    </xf>
    <xf numFmtId="0" fontId="1" fillId="0" borderId="0" xfId="0" applyFont="1">
      <alignment vertical="center"/>
    </xf>
    <xf numFmtId="0" fontId="0" fillId="0" borderId="0" xfId="0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Border="1">
      <alignment vertical="center"/>
    </xf>
    <xf numFmtId="0" fontId="9" fillId="0" borderId="1" xfId="0" applyFont="1" applyBorder="1" applyAlignment="1">
      <alignment horizontal="center" vertical="center"/>
    </xf>
    <xf numFmtId="0" fontId="2" fillId="6" borderId="0" xfId="0" applyFont="1" applyFill="1">
      <alignment vertical="center"/>
    </xf>
    <xf numFmtId="0" fontId="0" fillId="0" borderId="4" xfId="0" applyBorder="1" applyAlignment="1">
      <alignment horizontal="center" vertical="center"/>
    </xf>
    <xf numFmtId="0" fontId="0" fillId="0" borderId="0" xfId="0" quotePrefix="1">
      <alignment vertical="center"/>
    </xf>
    <xf numFmtId="0" fontId="0" fillId="0" borderId="0" xfId="0" quotePrefix="1" applyAlignment="1">
      <alignment horizontal="center" vertical="center"/>
    </xf>
    <xf numFmtId="0" fontId="0" fillId="0" borderId="0" xfId="0" applyAlignment="1"/>
    <xf numFmtId="0" fontId="10" fillId="0" borderId="0" xfId="0" applyFont="1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/>
    <xf numFmtId="0" fontId="0" fillId="0" borderId="3" xfId="0" applyBorder="1" applyAlignment="1"/>
    <xf numFmtId="0" fontId="0" fillId="0" borderId="5" xfId="0" applyBorder="1" applyAlignment="1"/>
  </cellXfs>
  <cellStyles count="4">
    <cellStyle name="백분율 2" xfId="2" xr:uid="{00000000-0005-0000-0000-000002000000}"/>
    <cellStyle name="쉼표 [0] 2" xfId="3" xr:uid="{00000000-0005-0000-0000-000003000000}"/>
    <cellStyle name="표준" xfId="0" builtinId="0"/>
    <cellStyle name="표준 2" xfId="1" xr:uid="{00000000-0005-0000-0000-000001000000}"/>
  </cellStyles>
  <dxfs count="8"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  <dxf>
      <fill>
        <patternFill>
          <bgColor theme="0" tint="-0.2499465926084170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3:AH57"/>
  <sheetViews>
    <sheetView zoomScale="85" zoomScaleNormal="85" workbookViewId="0">
      <selection activeCell="D13" sqref="D13"/>
    </sheetView>
  </sheetViews>
  <sheetFormatPr defaultRowHeight="13.5" x14ac:dyDescent="0.25"/>
  <cols>
    <col min="2" max="2" width="14.28515625" style="29" customWidth="1"/>
    <col min="3" max="3" width="18.5703125" style="10" customWidth="1"/>
    <col min="4" max="4" width="20.5703125" style="10" customWidth="1"/>
    <col min="5" max="5" width="16.28515625" style="10" customWidth="1"/>
    <col min="6" max="6" width="19.28515625" style="10" customWidth="1"/>
    <col min="7" max="7" width="17.85546875" style="10" customWidth="1"/>
    <col min="8" max="8" width="18.140625" style="10" customWidth="1"/>
    <col min="9" max="9" width="18" style="10" customWidth="1"/>
    <col min="10" max="11" width="20.5703125" style="10" customWidth="1"/>
    <col min="12" max="12" width="12.28515625" style="10" customWidth="1"/>
    <col min="13" max="13" width="17.7109375" style="10" customWidth="1"/>
    <col min="14" max="14" width="19.7109375" style="10" customWidth="1"/>
    <col min="15" max="15" width="14.85546875" style="10" customWidth="1"/>
    <col min="16" max="16" width="16.140625" style="10" customWidth="1"/>
    <col min="17" max="17" width="14.42578125" style="10" customWidth="1"/>
    <col min="18" max="18" width="20.5703125" style="10" customWidth="1"/>
    <col min="19" max="19" width="16.85546875" style="10" customWidth="1"/>
    <col min="20" max="20" width="16.85546875" style="29" bestFit="1" customWidth="1"/>
  </cols>
  <sheetData>
    <row r="3" spans="2:17" x14ac:dyDescent="0.25">
      <c r="B3" t="s">
        <v>0</v>
      </c>
      <c r="N3" s="11"/>
      <c r="O3" s="31" t="s">
        <v>1</v>
      </c>
      <c r="P3" s="32"/>
      <c r="Q3" s="11" t="s">
        <v>2</v>
      </c>
    </row>
    <row r="4" spans="2:17" x14ac:dyDescent="0.25">
      <c r="G4" s="31" t="s">
        <v>3</v>
      </c>
      <c r="H4" s="34"/>
      <c r="I4" s="34"/>
      <c r="J4" s="34"/>
      <c r="K4" s="32"/>
      <c r="N4" s="26" t="s">
        <v>4</v>
      </c>
      <c r="O4" s="11" t="s">
        <v>5</v>
      </c>
      <c r="P4" s="11" t="s">
        <v>6</v>
      </c>
      <c r="Q4" s="11" t="s">
        <v>5</v>
      </c>
    </row>
    <row r="5" spans="2:17" x14ac:dyDescent="0.25">
      <c r="C5" s="11" t="s">
        <v>7</v>
      </c>
      <c r="D5" s="13" t="s">
        <v>8</v>
      </c>
      <c r="E5" s="10" t="s">
        <v>9</v>
      </c>
      <c r="G5" s="11" t="s">
        <v>10</v>
      </c>
      <c r="H5" s="11"/>
      <c r="I5" s="11"/>
      <c r="J5" s="11"/>
      <c r="K5" s="11" t="s">
        <v>11</v>
      </c>
      <c r="N5" s="26">
        <v>5</v>
      </c>
      <c r="O5" s="11">
        <v>25</v>
      </c>
      <c r="P5" s="11">
        <v>11</v>
      </c>
      <c r="Q5" s="11">
        <v>25</v>
      </c>
    </row>
    <row r="6" spans="2:17" x14ac:dyDescent="0.25">
      <c r="C6" s="11" t="s">
        <v>12</v>
      </c>
      <c r="D6" s="13" t="s">
        <v>13</v>
      </c>
      <c r="E6" s="10" t="s">
        <v>14</v>
      </c>
      <c r="G6" s="23" t="s">
        <v>15</v>
      </c>
      <c r="H6" s="11"/>
      <c r="I6" s="11"/>
      <c r="J6" s="11"/>
      <c r="K6" s="11" t="s">
        <v>16</v>
      </c>
      <c r="N6" s="11">
        <v>10</v>
      </c>
      <c r="O6" s="11">
        <v>52</v>
      </c>
      <c r="P6" s="11">
        <v>24</v>
      </c>
      <c r="Q6" s="11">
        <v>50</v>
      </c>
    </row>
    <row r="7" spans="2:17" x14ac:dyDescent="0.25">
      <c r="C7" s="11" t="s">
        <v>17</v>
      </c>
      <c r="D7" s="13" t="s">
        <v>8</v>
      </c>
      <c r="E7" s="21"/>
      <c r="N7" s="11">
        <v>15</v>
      </c>
      <c r="O7" s="11">
        <v>79</v>
      </c>
      <c r="P7" s="11">
        <v>38</v>
      </c>
      <c r="Q7" s="11">
        <v>75</v>
      </c>
    </row>
    <row r="8" spans="2:17" x14ac:dyDescent="0.25">
      <c r="C8" s="11" t="s">
        <v>18</v>
      </c>
      <c r="D8" s="13" t="s">
        <v>19</v>
      </c>
      <c r="E8" s="10" t="s">
        <v>20</v>
      </c>
      <c r="N8" s="11">
        <v>20</v>
      </c>
      <c r="O8" s="11">
        <v>106</v>
      </c>
      <c r="P8" s="11">
        <v>51</v>
      </c>
      <c r="Q8" s="11">
        <v>100</v>
      </c>
    </row>
    <row r="9" spans="2:17" x14ac:dyDescent="0.25">
      <c r="N9" s="11">
        <v>25</v>
      </c>
      <c r="O9" s="11">
        <v>216</v>
      </c>
      <c r="P9" s="11">
        <v>65</v>
      </c>
      <c r="Q9" s="11"/>
    </row>
    <row r="10" spans="2:17" x14ac:dyDescent="0.25">
      <c r="N10" s="11">
        <v>30</v>
      </c>
      <c r="O10" s="11">
        <v>270</v>
      </c>
      <c r="P10" s="11">
        <v>78</v>
      </c>
      <c r="Q10" s="11"/>
    </row>
    <row r="11" spans="2:17" x14ac:dyDescent="0.25">
      <c r="B11" t="s">
        <v>21</v>
      </c>
      <c r="N11" s="11">
        <v>40</v>
      </c>
      <c r="O11" s="11"/>
      <c r="P11" s="11">
        <v>106</v>
      </c>
      <c r="Q11" s="11"/>
    </row>
    <row r="12" spans="2:17" x14ac:dyDescent="0.25">
      <c r="N12" s="11">
        <v>50</v>
      </c>
      <c r="O12" s="11"/>
      <c r="P12" s="11">
        <v>133</v>
      </c>
      <c r="Q12" s="11"/>
    </row>
    <row r="13" spans="2:17" x14ac:dyDescent="0.25">
      <c r="C13" s="11" t="s">
        <v>7</v>
      </c>
      <c r="D13" s="13" t="s">
        <v>205</v>
      </c>
      <c r="E13" s="10" t="s">
        <v>23</v>
      </c>
      <c r="N13" s="11">
        <v>60</v>
      </c>
      <c r="O13" s="11"/>
      <c r="P13" s="11">
        <v>162</v>
      </c>
      <c r="Q13" s="11"/>
    </row>
    <row r="14" spans="2:17" ht="27" customHeight="1" x14ac:dyDescent="0.25">
      <c r="C14" s="11" t="s">
        <v>24</v>
      </c>
      <c r="D14" s="13" t="s">
        <v>25</v>
      </c>
      <c r="E14" s="21" t="s">
        <v>26</v>
      </c>
      <c r="N14" s="11">
        <v>80</v>
      </c>
      <c r="O14" s="11"/>
      <c r="P14" s="11">
        <v>217</v>
      </c>
      <c r="Q14" s="11"/>
    </row>
    <row r="15" spans="2:17" x14ac:dyDescent="0.25">
      <c r="N15" s="11">
        <v>90</v>
      </c>
      <c r="O15" s="11"/>
      <c r="P15" s="11">
        <v>245</v>
      </c>
      <c r="Q15" s="11"/>
    </row>
    <row r="16" spans="2:17" x14ac:dyDescent="0.25">
      <c r="B16"/>
      <c r="N16" s="11">
        <v>100</v>
      </c>
      <c r="O16" s="11"/>
      <c r="P16" s="11">
        <v>273</v>
      </c>
      <c r="Q16" s="11"/>
    </row>
    <row r="17" spans="1:34" x14ac:dyDescent="0.25">
      <c r="B17" s="10"/>
      <c r="G17" s="28"/>
      <c r="H17" s="28"/>
      <c r="R17" s="10">
        <v>0.50900000000000001</v>
      </c>
    </row>
    <row r="18" spans="1:34" x14ac:dyDescent="0.25">
      <c r="R18" s="10" t="s">
        <v>27</v>
      </c>
    </row>
    <row r="19" spans="1:34" x14ac:dyDescent="0.25">
      <c r="B19" t="s">
        <v>28</v>
      </c>
      <c r="R19" s="10" t="s">
        <v>29</v>
      </c>
      <c r="W19" t="s">
        <v>30</v>
      </c>
    </row>
    <row r="20" spans="1:34" x14ac:dyDescent="0.25">
      <c r="R20" s="10">
        <v>10000</v>
      </c>
    </row>
    <row r="21" spans="1:34" x14ac:dyDescent="0.25">
      <c r="B21" s="31"/>
      <c r="C21" s="22" t="s">
        <v>31</v>
      </c>
      <c r="D21" s="22"/>
      <c r="E21" s="22"/>
      <c r="F21" s="22"/>
      <c r="G21" s="22" t="s">
        <v>32</v>
      </c>
      <c r="H21" s="22"/>
      <c r="I21" s="22"/>
      <c r="J21" s="22"/>
      <c r="K21" s="22" t="s">
        <v>33</v>
      </c>
      <c r="L21" s="22"/>
      <c r="M21" s="22"/>
      <c r="N21" s="22"/>
      <c r="O21" s="22"/>
      <c r="P21" s="22"/>
      <c r="Q21" s="22"/>
      <c r="R21" s="22">
        <v>100</v>
      </c>
      <c r="S21">
        <v>6.81</v>
      </c>
    </row>
    <row r="22" spans="1:34" x14ac:dyDescent="0.25">
      <c r="B22" s="33"/>
      <c r="C22" s="12" t="s">
        <v>7</v>
      </c>
      <c r="D22" s="12" t="s">
        <v>34</v>
      </c>
      <c r="E22" s="12" t="s">
        <v>35</v>
      </c>
      <c r="F22" s="12" t="s">
        <v>36</v>
      </c>
      <c r="G22" s="12" t="s">
        <v>7</v>
      </c>
      <c r="H22" s="12" t="s">
        <v>37</v>
      </c>
      <c r="I22" s="12" t="s">
        <v>38</v>
      </c>
      <c r="J22" s="12" t="s">
        <v>39</v>
      </c>
      <c r="K22" s="12" t="s">
        <v>7</v>
      </c>
      <c r="L22" s="12" t="s">
        <v>40</v>
      </c>
      <c r="M22" s="12" t="s">
        <v>41</v>
      </c>
      <c r="N22" s="12" t="s">
        <v>42</v>
      </c>
      <c r="O22" s="12" t="s">
        <v>43</v>
      </c>
      <c r="P22" s="12" t="s">
        <v>44</v>
      </c>
      <c r="Q22" s="12" t="s">
        <v>45</v>
      </c>
      <c r="R22" s="12" t="s">
        <v>46</v>
      </c>
      <c r="S22"/>
    </row>
    <row r="23" spans="1:34" x14ac:dyDescent="0.25">
      <c r="A23" s="30" t="s">
        <v>47</v>
      </c>
      <c r="B23" s="11" t="s">
        <v>48</v>
      </c>
      <c r="C23" s="11" t="s">
        <v>49</v>
      </c>
      <c r="D23" s="11" t="s">
        <v>5</v>
      </c>
      <c r="E23" s="11" t="s">
        <v>50</v>
      </c>
      <c r="F23" s="13" t="s">
        <v>51</v>
      </c>
      <c r="G23" s="11" t="s">
        <v>49</v>
      </c>
      <c r="H23" s="11" t="s">
        <v>22</v>
      </c>
      <c r="I23" s="11" t="s">
        <v>52</v>
      </c>
      <c r="J23" s="11" t="s">
        <v>49</v>
      </c>
      <c r="K23" s="11" t="s">
        <v>52</v>
      </c>
      <c r="L23" s="11" t="s">
        <v>53</v>
      </c>
      <c r="M23" s="11" t="s">
        <v>54</v>
      </c>
      <c r="N23" s="11" t="s">
        <v>55</v>
      </c>
      <c r="O23" s="11" t="s">
        <v>56</v>
      </c>
      <c r="P23" s="11" t="s">
        <v>1</v>
      </c>
      <c r="Q23" s="11" t="s">
        <v>57</v>
      </c>
      <c r="R23" s="11"/>
      <c r="S23"/>
      <c r="T23">
        <v>6.8</v>
      </c>
      <c r="V23" s="10" t="str">
        <f t="shared" ref="V23:V30" si="0">DEC2HEX(F23)</f>
        <v>2</v>
      </c>
      <c r="W23">
        <v>7</v>
      </c>
    </row>
    <row r="24" spans="1:34" x14ac:dyDescent="0.25">
      <c r="A24" s="30" t="s">
        <v>47</v>
      </c>
      <c r="B24" s="11" t="s">
        <v>58</v>
      </c>
      <c r="C24" s="11" t="s">
        <v>59</v>
      </c>
      <c r="D24" s="11" t="s">
        <v>5</v>
      </c>
      <c r="E24" s="11" t="s">
        <v>50</v>
      </c>
      <c r="F24" s="13" t="s">
        <v>60</v>
      </c>
      <c r="G24" s="11" t="s">
        <v>59</v>
      </c>
      <c r="H24" s="11" t="s">
        <v>22</v>
      </c>
      <c r="I24" s="11" t="s">
        <v>61</v>
      </c>
      <c r="J24" s="11" t="s">
        <v>59</v>
      </c>
      <c r="K24" s="11" t="s">
        <v>61</v>
      </c>
      <c r="L24" s="11" t="s">
        <v>53</v>
      </c>
      <c r="M24" s="11" t="s">
        <v>54</v>
      </c>
      <c r="N24" s="11" t="s">
        <v>62</v>
      </c>
      <c r="O24" s="11" t="s">
        <v>56</v>
      </c>
      <c r="P24" s="11" t="s">
        <v>1</v>
      </c>
      <c r="Q24" s="11" t="s">
        <v>57</v>
      </c>
      <c r="R24" s="11"/>
      <c r="S24"/>
      <c r="T24">
        <v>4.2</v>
      </c>
      <c r="V24" s="10" t="str">
        <f t="shared" si="0"/>
        <v>3</v>
      </c>
      <c r="W24">
        <f t="shared" ref="W24:W30" si="1">W23</f>
        <v>7</v>
      </c>
    </row>
    <row r="25" spans="1:34" x14ac:dyDescent="0.25">
      <c r="A25" s="30" t="s">
        <v>47</v>
      </c>
      <c r="B25" s="11" t="s">
        <v>63</v>
      </c>
      <c r="C25" s="11" t="s">
        <v>64</v>
      </c>
      <c r="D25" s="11" t="s">
        <v>5</v>
      </c>
      <c r="E25" s="11" t="s">
        <v>50</v>
      </c>
      <c r="F25" s="13" t="s">
        <v>65</v>
      </c>
      <c r="G25" s="11" t="s">
        <v>64</v>
      </c>
      <c r="H25" s="11" t="s">
        <v>22</v>
      </c>
      <c r="I25" s="11" t="s">
        <v>66</v>
      </c>
      <c r="J25" s="11" t="s">
        <v>64</v>
      </c>
      <c r="K25" s="11" t="s">
        <v>66</v>
      </c>
      <c r="L25" s="11" t="s">
        <v>53</v>
      </c>
      <c r="M25" s="11" t="s">
        <v>54</v>
      </c>
      <c r="N25" s="11" t="s">
        <v>55</v>
      </c>
      <c r="O25" s="11" t="s">
        <v>56</v>
      </c>
      <c r="P25" s="11" t="s">
        <v>1</v>
      </c>
      <c r="Q25" s="11" t="s">
        <v>57</v>
      </c>
      <c r="R25" s="11"/>
      <c r="S25"/>
      <c r="V25" s="10" t="str">
        <f t="shared" si="0"/>
        <v>4</v>
      </c>
      <c r="W25">
        <f t="shared" si="1"/>
        <v>7</v>
      </c>
    </row>
    <row r="26" spans="1:34" x14ac:dyDescent="0.25">
      <c r="A26" s="30" t="s">
        <v>47</v>
      </c>
      <c r="B26" s="11" t="s">
        <v>67</v>
      </c>
      <c r="C26" s="11" t="s">
        <v>68</v>
      </c>
      <c r="D26" s="11" t="s">
        <v>5</v>
      </c>
      <c r="E26" s="11" t="s">
        <v>50</v>
      </c>
      <c r="F26" s="13" t="s">
        <v>69</v>
      </c>
      <c r="G26" s="11" t="s">
        <v>68</v>
      </c>
      <c r="H26" s="11" t="s">
        <v>22</v>
      </c>
      <c r="I26" s="11" t="s">
        <v>70</v>
      </c>
      <c r="J26" s="11" t="s">
        <v>68</v>
      </c>
      <c r="K26" s="11" t="s">
        <v>70</v>
      </c>
      <c r="L26" s="11" t="s">
        <v>53</v>
      </c>
      <c r="M26" s="11" t="s">
        <v>54</v>
      </c>
      <c r="N26" s="11" t="s">
        <v>62</v>
      </c>
      <c r="O26" s="11" t="s">
        <v>56</v>
      </c>
      <c r="P26" s="11" t="s">
        <v>1</v>
      </c>
      <c r="Q26" s="11" t="s">
        <v>57</v>
      </c>
      <c r="R26" s="11"/>
      <c r="S26"/>
      <c r="V26" s="10" t="str">
        <f t="shared" si="0"/>
        <v>5</v>
      </c>
      <c r="W26">
        <f t="shared" si="1"/>
        <v>7</v>
      </c>
    </row>
    <row r="27" spans="1:34" x14ac:dyDescent="0.25">
      <c r="A27" s="30" t="s">
        <v>47</v>
      </c>
      <c r="B27" s="11" t="s">
        <v>71</v>
      </c>
      <c r="C27" s="11" t="s">
        <v>72</v>
      </c>
      <c r="D27" s="11" t="s">
        <v>5</v>
      </c>
      <c r="E27" s="11" t="s">
        <v>50</v>
      </c>
      <c r="F27" s="13" t="s">
        <v>73</v>
      </c>
      <c r="G27" s="11" t="s">
        <v>72</v>
      </c>
      <c r="H27" s="11" t="s">
        <v>22</v>
      </c>
      <c r="I27" s="11" t="s">
        <v>74</v>
      </c>
      <c r="J27" s="11" t="s">
        <v>72</v>
      </c>
      <c r="K27" s="11" t="s">
        <v>74</v>
      </c>
      <c r="L27" s="11" t="s">
        <v>53</v>
      </c>
      <c r="M27" s="11" t="s">
        <v>54</v>
      </c>
      <c r="N27" s="11" t="s">
        <v>55</v>
      </c>
      <c r="O27" s="11" t="s">
        <v>56</v>
      </c>
      <c r="P27" s="11" t="s">
        <v>1</v>
      </c>
      <c r="Q27" s="11" t="s">
        <v>57</v>
      </c>
      <c r="R27" s="11"/>
      <c r="S27"/>
      <c r="V27" s="10" t="str">
        <f t="shared" si="0"/>
        <v>6</v>
      </c>
      <c r="W27">
        <f t="shared" si="1"/>
        <v>7</v>
      </c>
      <c r="AH27" s="12" t="s">
        <v>75</v>
      </c>
    </row>
    <row r="28" spans="1:34" x14ac:dyDescent="0.25">
      <c r="A28" s="30" t="s">
        <v>47</v>
      </c>
      <c r="B28" s="11" t="s">
        <v>76</v>
      </c>
      <c r="C28" s="11" t="s">
        <v>77</v>
      </c>
      <c r="D28" s="11" t="s">
        <v>5</v>
      </c>
      <c r="E28" s="11" t="s">
        <v>50</v>
      </c>
      <c r="F28" s="13" t="s">
        <v>57</v>
      </c>
      <c r="G28" s="11" t="s">
        <v>77</v>
      </c>
      <c r="H28" s="11" t="s">
        <v>22</v>
      </c>
      <c r="I28" s="11" t="s">
        <v>78</v>
      </c>
      <c r="J28" s="11" t="s">
        <v>77</v>
      </c>
      <c r="K28" s="11" t="s">
        <v>78</v>
      </c>
      <c r="L28" s="11" t="s">
        <v>53</v>
      </c>
      <c r="M28" s="11" t="s">
        <v>54</v>
      </c>
      <c r="N28" s="11" t="s">
        <v>62</v>
      </c>
      <c r="O28" s="11" t="s">
        <v>56</v>
      </c>
      <c r="P28" s="11" t="s">
        <v>1</v>
      </c>
      <c r="Q28" s="11" t="s">
        <v>57</v>
      </c>
      <c r="R28" s="11"/>
      <c r="S28"/>
      <c r="V28" s="10" t="str">
        <f t="shared" si="0"/>
        <v>7</v>
      </c>
      <c r="W28">
        <f t="shared" si="1"/>
        <v>7</v>
      </c>
      <c r="AH28" s="12">
        <v>3900</v>
      </c>
    </row>
    <row r="29" spans="1:34" x14ac:dyDescent="0.25">
      <c r="A29" s="30" t="s">
        <v>47</v>
      </c>
      <c r="B29" s="11" t="s">
        <v>79</v>
      </c>
      <c r="C29" s="11" t="s">
        <v>80</v>
      </c>
      <c r="D29" s="11" t="s">
        <v>5</v>
      </c>
      <c r="E29" s="11" t="s">
        <v>50</v>
      </c>
      <c r="F29" s="13" t="s">
        <v>81</v>
      </c>
      <c r="G29" s="11" t="s">
        <v>80</v>
      </c>
      <c r="H29" s="11" t="s">
        <v>22</v>
      </c>
      <c r="I29" s="11" t="s">
        <v>82</v>
      </c>
      <c r="J29" s="11" t="s">
        <v>80</v>
      </c>
      <c r="K29" s="11" t="s">
        <v>82</v>
      </c>
      <c r="L29" s="11" t="s">
        <v>53</v>
      </c>
      <c r="M29" s="11" t="s">
        <v>54</v>
      </c>
      <c r="N29" s="11" t="s">
        <v>55</v>
      </c>
      <c r="O29" s="11" t="s">
        <v>56</v>
      </c>
      <c r="P29" s="11" t="s">
        <v>1</v>
      </c>
      <c r="Q29" s="11" t="s">
        <v>57</v>
      </c>
      <c r="R29" s="11"/>
      <c r="S29"/>
      <c r="V29" s="10" t="str">
        <f t="shared" si="0"/>
        <v>8</v>
      </c>
      <c r="W29">
        <f t="shared" si="1"/>
        <v>7</v>
      </c>
    </row>
    <row r="30" spans="1:34" x14ac:dyDescent="0.25">
      <c r="A30" s="30" t="s">
        <v>47</v>
      </c>
      <c r="B30" s="11" t="s">
        <v>83</v>
      </c>
      <c r="C30" s="11" t="s">
        <v>84</v>
      </c>
      <c r="D30" s="11" t="s">
        <v>5</v>
      </c>
      <c r="E30" s="11" t="s">
        <v>50</v>
      </c>
      <c r="F30" s="13" t="s">
        <v>85</v>
      </c>
      <c r="G30" s="11" t="s">
        <v>84</v>
      </c>
      <c r="H30" s="11" t="s">
        <v>22</v>
      </c>
      <c r="I30" s="11" t="s">
        <v>86</v>
      </c>
      <c r="J30" s="11" t="s">
        <v>84</v>
      </c>
      <c r="K30" s="11" t="s">
        <v>86</v>
      </c>
      <c r="L30" s="11" t="s">
        <v>53</v>
      </c>
      <c r="M30" s="11" t="s">
        <v>54</v>
      </c>
      <c r="N30" s="11" t="s">
        <v>62</v>
      </c>
      <c r="O30" s="11" t="s">
        <v>56</v>
      </c>
      <c r="P30" s="11" t="s">
        <v>1</v>
      </c>
      <c r="Q30" s="11" t="s">
        <v>57</v>
      </c>
      <c r="R30" s="11"/>
      <c r="S30"/>
      <c r="V30" s="10" t="str">
        <f t="shared" si="0"/>
        <v>9</v>
      </c>
      <c r="W30">
        <f t="shared" si="1"/>
        <v>7</v>
      </c>
    </row>
    <row r="31" spans="1:34" x14ac:dyDescent="0.25">
      <c r="B31" s="10"/>
      <c r="C31" s="10" t="s">
        <v>14</v>
      </c>
      <c r="F31" s="10" t="s">
        <v>87</v>
      </c>
      <c r="G31" s="10" t="s">
        <v>88</v>
      </c>
      <c r="H31" s="10" t="s">
        <v>88</v>
      </c>
      <c r="I31" s="10" t="s">
        <v>88</v>
      </c>
      <c r="J31" s="10" t="str">
        <f>C31</f>
        <v>고정</v>
      </c>
      <c r="K31" s="10" t="s">
        <v>88</v>
      </c>
    </row>
    <row r="32" spans="1:34" x14ac:dyDescent="0.25">
      <c r="B32" t="s">
        <v>89</v>
      </c>
      <c r="S32" s="10" t="s">
        <v>29</v>
      </c>
    </row>
    <row r="33" spans="2:25" x14ac:dyDescent="0.25">
      <c r="R33" s="10">
        <f>R36*R17</f>
        <v>13030.4</v>
      </c>
      <c r="S33" s="10">
        <f>S34*1000</f>
        <v>100000</v>
      </c>
      <c r="V33">
        <f>R34</f>
        <v>13.0304</v>
      </c>
      <c r="W33">
        <f>V33/1000</f>
        <v>1.3030400000000001E-2</v>
      </c>
      <c r="X33">
        <v>10</v>
      </c>
      <c r="Y33">
        <f>X33-W33</f>
        <v>9.9869696000000001</v>
      </c>
    </row>
    <row r="34" spans="2:25" x14ac:dyDescent="0.25">
      <c r="B34" s="31"/>
      <c r="C34" s="22" t="s">
        <v>31</v>
      </c>
      <c r="D34" s="22"/>
      <c r="E34" s="22"/>
      <c r="F34" s="22"/>
      <c r="G34" s="22"/>
      <c r="H34" s="22" t="s">
        <v>32</v>
      </c>
      <c r="I34" s="22"/>
      <c r="J34" s="22"/>
      <c r="K34" s="22"/>
      <c r="L34" s="22"/>
      <c r="M34" s="22"/>
      <c r="N34" s="22" t="s">
        <v>33</v>
      </c>
      <c r="O34" s="22"/>
      <c r="P34" s="22"/>
      <c r="Q34" s="22"/>
      <c r="R34" s="22">
        <f>R33/1000</f>
        <v>13.0304</v>
      </c>
      <c r="S34" s="22">
        <v>100</v>
      </c>
      <c r="T34" s="23">
        <v>1.89</v>
      </c>
      <c r="U34">
        <v>4.09</v>
      </c>
      <c r="V34">
        <f>S34+R34</f>
        <v>113.0304</v>
      </c>
      <c r="W34">
        <f>V34/1000</f>
        <v>0.1130304</v>
      </c>
      <c r="X34">
        <v>10</v>
      </c>
      <c r="Y34">
        <f>X34-W34</f>
        <v>9.8869696000000005</v>
      </c>
    </row>
    <row r="35" spans="2:25" x14ac:dyDescent="0.25">
      <c r="B35" s="33"/>
      <c r="C35" s="12" t="s">
        <v>7</v>
      </c>
      <c r="D35" s="12" t="s">
        <v>34</v>
      </c>
      <c r="E35" s="12" t="s">
        <v>35</v>
      </c>
      <c r="F35" s="12" t="s">
        <v>90</v>
      </c>
      <c r="G35" s="12" t="s">
        <v>36</v>
      </c>
      <c r="H35" s="12" t="s">
        <v>7</v>
      </c>
      <c r="I35" s="12" t="s">
        <v>37</v>
      </c>
      <c r="J35" s="12" t="s">
        <v>38</v>
      </c>
      <c r="K35" s="12" t="s">
        <v>39</v>
      </c>
      <c r="L35" s="12" t="s">
        <v>40</v>
      </c>
      <c r="M35" s="12" t="s">
        <v>41</v>
      </c>
      <c r="N35" s="12" t="s">
        <v>7</v>
      </c>
      <c r="O35" s="12" t="s">
        <v>42</v>
      </c>
      <c r="P35" s="12" t="s">
        <v>43</v>
      </c>
      <c r="Q35" s="12" t="s">
        <v>44</v>
      </c>
      <c r="R35" s="12" t="s">
        <v>91</v>
      </c>
      <c r="S35" s="12" t="s">
        <v>92</v>
      </c>
      <c r="T35" s="12" t="s">
        <v>93</v>
      </c>
    </row>
    <row r="36" spans="2:25" x14ac:dyDescent="0.25">
      <c r="B36" s="11" t="s">
        <v>48</v>
      </c>
      <c r="C36" s="11" t="s">
        <v>94</v>
      </c>
      <c r="D36" s="11" t="s">
        <v>5</v>
      </c>
      <c r="E36" s="11" t="s">
        <v>50</v>
      </c>
      <c r="F36" s="11" t="s">
        <v>95</v>
      </c>
      <c r="G36" s="13" t="s">
        <v>96</v>
      </c>
      <c r="H36" s="11" t="s">
        <v>94</v>
      </c>
      <c r="I36" s="11" t="s">
        <v>22</v>
      </c>
      <c r="J36" s="11" t="s">
        <v>97</v>
      </c>
      <c r="K36" s="11" t="s">
        <v>94</v>
      </c>
      <c r="L36" s="11" t="s">
        <v>53</v>
      </c>
      <c r="M36" s="11" t="s">
        <v>54</v>
      </c>
      <c r="N36" s="11" t="s">
        <v>97</v>
      </c>
      <c r="O36" s="11" t="s">
        <v>55</v>
      </c>
      <c r="P36" s="11" t="s">
        <v>56</v>
      </c>
      <c r="Q36" s="11" t="s">
        <v>1</v>
      </c>
      <c r="R36" s="13" t="s">
        <v>98</v>
      </c>
      <c r="S36" s="11"/>
      <c r="T36" s="24" t="s">
        <v>95</v>
      </c>
    </row>
    <row r="37" spans="2:25" x14ac:dyDescent="0.25">
      <c r="B37" s="11" t="s">
        <v>58</v>
      </c>
      <c r="C37" s="11" t="s">
        <v>99</v>
      </c>
      <c r="D37" s="11" t="s">
        <v>5</v>
      </c>
      <c r="E37" s="11" t="s">
        <v>50</v>
      </c>
      <c r="F37" s="11" t="s">
        <v>95</v>
      </c>
      <c r="G37" s="13" t="s">
        <v>100</v>
      </c>
      <c r="H37" s="11" t="s">
        <v>99</v>
      </c>
      <c r="I37" s="11" t="s">
        <v>22</v>
      </c>
      <c r="J37" s="11" t="s">
        <v>101</v>
      </c>
      <c r="K37" s="11" t="s">
        <v>99</v>
      </c>
      <c r="L37" s="11" t="s">
        <v>53</v>
      </c>
      <c r="M37" s="11" t="s">
        <v>54</v>
      </c>
      <c r="N37" s="11" t="s">
        <v>101</v>
      </c>
      <c r="O37" s="11" t="s">
        <v>62</v>
      </c>
      <c r="P37" s="11" t="s">
        <v>56</v>
      </c>
      <c r="Q37" s="11" t="s">
        <v>1</v>
      </c>
      <c r="R37" s="13" t="s">
        <v>98</v>
      </c>
      <c r="S37" s="11"/>
      <c r="T37" s="24" t="s">
        <v>95</v>
      </c>
    </row>
    <row r="38" spans="2:25" x14ac:dyDescent="0.25">
      <c r="B38" s="11" t="s">
        <v>63</v>
      </c>
      <c r="C38" s="11" t="s">
        <v>102</v>
      </c>
      <c r="D38" s="11" t="s">
        <v>5</v>
      </c>
      <c r="E38" s="11" t="s">
        <v>50</v>
      </c>
      <c r="F38" s="11" t="s">
        <v>95</v>
      </c>
      <c r="G38" s="13" t="s">
        <v>103</v>
      </c>
      <c r="H38" s="11" t="s">
        <v>102</v>
      </c>
      <c r="I38" s="11" t="s">
        <v>22</v>
      </c>
      <c r="J38" s="11" t="s">
        <v>104</v>
      </c>
      <c r="K38" s="11" t="s">
        <v>102</v>
      </c>
      <c r="L38" s="11" t="s">
        <v>53</v>
      </c>
      <c r="M38" s="11" t="s">
        <v>54</v>
      </c>
      <c r="N38" s="11" t="s">
        <v>104</v>
      </c>
      <c r="O38" s="11" t="s">
        <v>55</v>
      </c>
      <c r="P38" s="11" t="s">
        <v>56</v>
      </c>
      <c r="Q38" s="11" t="s">
        <v>1</v>
      </c>
      <c r="R38" s="13" t="s">
        <v>98</v>
      </c>
      <c r="S38" s="11"/>
      <c r="T38" s="24" t="s">
        <v>95</v>
      </c>
    </row>
    <row r="39" spans="2:25" x14ac:dyDescent="0.25">
      <c r="B39" s="11" t="s">
        <v>67</v>
      </c>
      <c r="C39" s="11" t="s">
        <v>105</v>
      </c>
      <c r="D39" s="11" t="s">
        <v>5</v>
      </c>
      <c r="E39" s="11" t="s">
        <v>50</v>
      </c>
      <c r="F39" s="11" t="s">
        <v>95</v>
      </c>
      <c r="G39" s="13" t="s">
        <v>106</v>
      </c>
      <c r="H39" s="11" t="s">
        <v>105</v>
      </c>
      <c r="I39" s="11" t="s">
        <v>22</v>
      </c>
      <c r="J39" s="11" t="s">
        <v>107</v>
      </c>
      <c r="K39" s="11" t="s">
        <v>105</v>
      </c>
      <c r="L39" s="11" t="s">
        <v>53</v>
      </c>
      <c r="M39" s="11" t="s">
        <v>54</v>
      </c>
      <c r="N39" s="11" t="s">
        <v>107</v>
      </c>
      <c r="O39" s="11" t="s">
        <v>62</v>
      </c>
      <c r="P39" s="11" t="s">
        <v>56</v>
      </c>
      <c r="Q39" s="11" t="s">
        <v>1</v>
      </c>
      <c r="R39" s="13" t="s">
        <v>98</v>
      </c>
      <c r="S39" s="11"/>
      <c r="T39" s="24" t="s">
        <v>95</v>
      </c>
    </row>
    <row r="40" spans="2:25" x14ac:dyDescent="0.25">
      <c r="B40" s="11" t="s">
        <v>71</v>
      </c>
      <c r="C40" s="11" t="s">
        <v>108</v>
      </c>
      <c r="D40" s="11" t="s">
        <v>5</v>
      </c>
      <c r="E40" s="11" t="s">
        <v>50</v>
      </c>
      <c r="F40" s="11" t="s">
        <v>95</v>
      </c>
      <c r="G40" s="13" t="s">
        <v>109</v>
      </c>
      <c r="H40" s="11" t="s">
        <v>108</v>
      </c>
      <c r="I40" s="11" t="s">
        <v>22</v>
      </c>
      <c r="J40" s="11" t="s">
        <v>110</v>
      </c>
      <c r="K40" s="11" t="s">
        <v>108</v>
      </c>
      <c r="L40" s="11" t="s">
        <v>53</v>
      </c>
      <c r="M40" s="11" t="s">
        <v>54</v>
      </c>
      <c r="N40" s="11" t="s">
        <v>110</v>
      </c>
      <c r="O40" s="11" t="s">
        <v>55</v>
      </c>
      <c r="P40" s="11" t="s">
        <v>56</v>
      </c>
      <c r="Q40" s="11" t="s">
        <v>1</v>
      </c>
      <c r="R40" s="13" t="s">
        <v>98</v>
      </c>
      <c r="S40" s="11"/>
      <c r="T40" s="24" t="s">
        <v>95</v>
      </c>
    </row>
    <row r="41" spans="2:25" x14ac:dyDescent="0.25">
      <c r="B41" s="11" t="s">
        <v>76</v>
      </c>
      <c r="C41" s="11" t="s">
        <v>111</v>
      </c>
      <c r="D41" s="11" t="s">
        <v>5</v>
      </c>
      <c r="E41" s="11" t="s">
        <v>50</v>
      </c>
      <c r="F41" s="11" t="s">
        <v>95</v>
      </c>
      <c r="G41" s="13" t="s">
        <v>112</v>
      </c>
      <c r="H41" s="11" t="s">
        <v>111</v>
      </c>
      <c r="I41" s="11" t="s">
        <v>22</v>
      </c>
      <c r="J41" s="11" t="s">
        <v>113</v>
      </c>
      <c r="K41" s="11" t="s">
        <v>111</v>
      </c>
      <c r="L41" s="11" t="s">
        <v>53</v>
      </c>
      <c r="M41" s="11" t="s">
        <v>54</v>
      </c>
      <c r="N41" s="11" t="s">
        <v>113</v>
      </c>
      <c r="O41" s="11" t="s">
        <v>62</v>
      </c>
      <c r="P41" s="11" t="s">
        <v>56</v>
      </c>
      <c r="Q41" s="11" t="s">
        <v>1</v>
      </c>
      <c r="R41" s="13" t="s">
        <v>98</v>
      </c>
      <c r="S41" s="11"/>
      <c r="T41" s="24" t="s">
        <v>95</v>
      </c>
    </row>
    <row r="42" spans="2:25" x14ac:dyDescent="0.25">
      <c r="B42" s="11" t="s">
        <v>79</v>
      </c>
      <c r="C42" s="11" t="s">
        <v>114</v>
      </c>
      <c r="D42" s="11" t="s">
        <v>5</v>
      </c>
      <c r="E42" s="11" t="s">
        <v>50</v>
      </c>
      <c r="F42" s="11" t="s">
        <v>95</v>
      </c>
      <c r="G42" s="13" t="s">
        <v>115</v>
      </c>
      <c r="H42" s="11" t="s">
        <v>114</v>
      </c>
      <c r="I42" s="11" t="s">
        <v>22</v>
      </c>
      <c r="J42" s="11" t="s">
        <v>116</v>
      </c>
      <c r="K42" s="11" t="s">
        <v>114</v>
      </c>
      <c r="L42" s="11" t="s">
        <v>53</v>
      </c>
      <c r="M42" s="11" t="s">
        <v>54</v>
      </c>
      <c r="N42" s="11" t="s">
        <v>116</v>
      </c>
      <c r="O42" s="11" t="s">
        <v>55</v>
      </c>
      <c r="P42" s="11" t="s">
        <v>56</v>
      </c>
      <c r="Q42" s="11" t="s">
        <v>1</v>
      </c>
      <c r="R42" s="13" t="s">
        <v>98</v>
      </c>
      <c r="S42" s="11"/>
      <c r="T42" s="24" t="s">
        <v>95</v>
      </c>
    </row>
    <row r="43" spans="2:25" x14ac:dyDescent="0.25">
      <c r="B43" s="11" t="s">
        <v>83</v>
      </c>
      <c r="C43" s="11" t="s">
        <v>117</v>
      </c>
      <c r="D43" s="11" t="s">
        <v>5</v>
      </c>
      <c r="E43" s="11" t="s">
        <v>50</v>
      </c>
      <c r="F43" s="11" t="s">
        <v>95</v>
      </c>
      <c r="G43" s="13" t="s">
        <v>118</v>
      </c>
      <c r="H43" s="11" t="s">
        <v>117</v>
      </c>
      <c r="I43" s="11" t="s">
        <v>22</v>
      </c>
      <c r="J43" s="11" t="s">
        <v>119</v>
      </c>
      <c r="K43" s="11" t="s">
        <v>117</v>
      </c>
      <c r="L43" s="11" t="s">
        <v>53</v>
      </c>
      <c r="M43" s="11" t="s">
        <v>54</v>
      </c>
      <c r="N43" s="11" t="s">
        <v>119</v>
      </c>
      <c r="O43" s="11" t="s">
        <v>62</v>
      </c>
      <c r="P43" s="11" t="s">
        <v>56</v>
      </c>
      <c r="Q43" s="11" t="s">
        <v>1</v>
      </c>
      <c r="R43" s="13" t="s">
        <v>98</v>
      </c>
      <c r="S43" s="11"/>
      <c r="T43" s="24" t="s">
        <v>95</v>
      </c>
    </row>
    <row r="44" spans="2:25" x14ac:dyDescent="0.25">
      <c r="B44" s="10"/>
      <c r="C44" s="10" t="s">
        <v>14</v>
      </c>
      <c r="H44" s="10" t="s">
        <v>88</v>
      </c>
      <c r="I44" s="10" t="s">
        <v>88</v>
      </c>
      <c r="J44" s="10" t="s">
        <v>88</v>
      </c>
      <c r="K44" s="10" t="str">
        <f>C44</f>
        <v>고정</v>
      </c>
      <c r="N44" s="10" t="s">
        <v>88</v>
      </c>
    </row>
    <row r="45" spans="2:25" x14ac:dyDescent="0.25">
      <c r="B45" t="s">
        <v>120</v>
      </c>
    </row>
    <row r="47" spans="2:25" x14ac:dyDescent="0.25">
      <c r="B47" s="31"/>
      <c r="C47" s="22" t="s">
        <v>31</v>
      </c>
      <c r="D47" s="22"/>
      <c r="E47" s="22"/>
      <c r="F47" s="22"/>
      <c r="G47" s="22"/>
      <c r="H47" s="22" t="s">
        <v>32</v>
      </c>
      <c r="I47" s="22"/>
      <c r="J47" s="22"/>
      <c r="K47" s="22"/>
      <c r="L47" s="22"/>
      <c r="M47" s="22"/>
    </row>
    <row r="48" spans="2:25" x14ac:dyDescent="0.25">
      <c r="B48" s="33"/>
      <c r="C48" s="12" t="s">
        <v>7</v>
      </c>
      <c r="D48" s="12" t="s">
        <v>34</v>
      </c>
      <c r="E48" s="12" t="s">
        <v>35</v>
      </c>
      <c r="F48" s="12" t="s">
        <v>90</v>
      </c>
      <c r="G48" s="12" t="s">
        <v>36</v>
      </c>
      <c r="H48" s="12" t="s">
        <v>7</v>
      </c>
      <c r="I48" s="12" t="s">
        <v>37</v>
      </c>
      <c r="J48" s="12" t="s">
        <v>38</v>
      </c>
      <c r="K48" s="12" t="s">
        <v>39</v>
      </c>
      <c r="L48" s="12" t="s">
        <v>40</v>
      </c>
      <c r="M48" s="12" t="s">
        <v>41</v>
      </c>
    </row>
    <row r="49" spans="2:15" x14ac:dyDescent="0.25">
      <c r="B49" s="11" t="s">
        <v>48</v>
      </c>
      <c r="C49" s="11" t="s">
        <v>121</v>
      </c>
      <c r="D49" s="11" t="s">
        <v>5</v>
      </c>
      <c r="E49" s="11"/>
      <c r="F49" s="11" t="s">
        <v>95</v>
      </c>
      <c r="G49" s="13" t="s">
        <v>122</v>
      </c>
      <c r="H49" s="11" t="s">
        <v>121</v>
      </c>
      <c r="I49" s="11" t="s">
        <v>22</v>
      </c>
      <c r="J49" s="11" t="s">
        <v>97</v>
      </c>
      <c r="K49" s="11" t="s">
        <v>121</v>
      </c>
      <c r="L49" s="11" t="s">
        <v>53</v>
      </c>
      <c r="M49" s="11" t="s">
        <v>54</v>
      </c>
      <c r="O49" s="10" t="str">
        <f t="shared" ref="O49:O56" si="2">DEC2HEX(G49)</f>
        <v>22</v>
      </c>
    </row>
    <row r="50" spans="2:15" x14ac:dyDescent="0.25">
      <c r="B50" s="11" t="s">
        <v>58</v>
      </c>
      <c r="C50" s="11" t="s">
        <v>123</v>
      </c>
      <c r="D50" s="11" t="s">
        <v>5</v>
      </c>
      <c r="E50" s="11"/>
      <c r="F50" s="11" t="s">
        <v>95</v>
      </c>
      <c r="G50" s="13" t="s">
        <v>124</v>
      </c>
      <c r="H50" s="11" t="s">
        <v>123</v>
      </c>
      <c r="I50" s="11" t="s">
        <v>22</v>
      </c>
      <c r="J50" s="11" t="s">
        <v>101</v>
      </c>
      <c r="K50" s="11" t="s">
        <v>123</v>
      </c>
      <c r="L50" s="11" t="s">
        <v>53</v>
      </c>
      <c r="M50" s="11" t="s">
        <v>54</v>
      </c>
      <c r="O50" s="10" t="str">
        <f t="shared" si="2"/>
        <v>23</v>
      </c>
    </row>
    <row r="51" spans="2:15" x14ac:dyDescent="0.25">
      <c r="B51" s="11" t="s">
        <v>63</v>
      </c>
      <c r="C51" s="11" t="s">
        <v>125</v>
      </c>
      <c r="D51" s="11" t="s">
        <v>5</v>
      </c>
      <c r="E51" s="11"/>
      <c r="F51" s="11" t="s">
        <v>95</v>
      </c>
      <c r="G51" s="13" t="s">
        <v>126</v>
      </c>
      <c r="H51" s="11" t="s">
        <v>125</v>
      </c>
      <c r="I51" s="11" t="s">
        <v>22</v>
      </c>
      <c r="J51" s="11" t="s">
        <v>104</v>
      </c>
      <c r="K51" s="11" t="s">
        <v>125</v>
      </c>
      <c r="L51" s="11" t="s">
        <v>53</v>
      </c>
      <c r="M51" s="11" t="s">
        <v>54</v>
      </c>
      <c r="O51" s="10" t="str">
        <f t="shared" si="2"/>
        <v>24</v>
      </c>
    </row>
    <row r="52" spans="2:15" x14ac:dyDescent="0.25">
      <c r="B52" s="11" t="s">
        <v>67</v>
      </c>
      <c r="C52" s="11" t="s">
        <v>127</v>
      </c>
      <c r="D52" s="11" t="s">
        <v>5</v>
      </c>
      <c r="E52" s="11"/>
      <c r="F52" s="11" t="s">
        <v>95</v>
      </c>
      <c r="G52" s="13" t="s">
        <v>128</v>
      </c>
      <c r="H52" s="11" t="s">
        <v>127</v>
      </c>
      <c r="I52" s="11" t="s">
        <v>22</v>
      </c>
      <c r="J52" s="11" t="s">
        <v>107</v>
      </c>
      <c r="K52" s="11" t="s">
        <v>127</v>
      </c>
      <c r="L52" s="11" t="s">
        <v>53</v>
      </c>
      <c r="M52" s="11" t="s">
        <v>54</v>
      </c>
      <c r="O52" s="10" t="str">
        <f t="shared" si="2"/>
        <v>25</v>
      </c>
    </row>
    <row r="53" spans="2:15" x14ac:dyDescent="0.25">
      <c r="B53" s="11" t="s">
        <v>71</v>
      </c>
      <c r="C53" s="11" t="s">
        <v>129</v>
      </c>
      <c r="D53" s="11" t="s">
        <v>5</v>
      </c>
      <c r="E53" s="11"/>
      <c r="F53" s="11" t="s">
        <v>95</v>
      </c>
      <c r="G53" s="13" t="s">
        <v>130</v>
      </c>
      <c r="H53" s="11" t="s">
        <v>129</v>
      </c>
      <c r="I53" s="11" t="s">
        <v>22</v>
      </c>
      <c r="J53" s="11" t="s">
        <v>110</v>
      </c>
      <c r="K53" s="11" t="s">
        <v>129</v>
      </c>
      <c r="L53" s="11" t="s">
        <v>53</v>
      </c>
      <c r="M53" s="11" t="s">
        <v>54</v>
      </c>
      <c r="O53" s="10" t="str">
        <f t="shared" si="2"/>
        <v>26</v>
      </c>
    </row>
    <row r="54" spans="2:15" x14ac:dyDescent="0.25">
      <c r="B54" s="11" t="s">
        <v>76</v>
      </c>
      <c r="C54" s="11" t="s">
        <v>131</v>
      </c>
      <c r="D54" s="11" t="s">
        <v>5</v>
      </c>
      <c r="E54" s="11"/>
      <c r="F54" s="11" t="s">
        <v>95</v>
      </c>
      <c r="G54" s="13" t="s">
        <v>132</v>
      </c>
      <c r="H54" s="11" t="s">
        <v>131</v>
      </c>
      <c r="I54" s="11" t="s">
        <v>22</v>
      </c>
      <c r="J54" s="11" t="s">
        <v>113</v>
      </c>
      <c r="K54" s="11" t="s">
        <v>131</v>
      </c>
      <c r="L54" s="11" t="s">
        <v>53</v>
      </c>
      <c r="M54" s="11" t="s">
        <v>54</v>
      </c>
      <c r="O54" s="10" t="str">
        <f t="shared" si="2"/>
        <v>27</v>
      </c>
    </row>
    <row r="55" spans="2:15" x14ac:dyDescent="0.25">
      <c r="B55" s="11" t="s">
        <v>79</v>
      </c>
      <c r="C55" s="11" t="s">
        <v>133</v>
      </c>
      <c r="D55" s="11" t="s">
        <v>5</v>
      </c>
      <c r="E55" s="11"/>
      <c r="F55" s="11" t="s">
        <v>95</v>
      </c>
      <c r="G55" s="13" t="s">
        <v>134</v>
      </c>
      <c r="H55" s="11" t="s">
        <v>133</v>
      </c>
      <c r="I55" s="11" t="s">
        <v>22</v>
      </c>
      <c r="J55" s="11" t="s">
        <v>116</v>
      </c>
      <c r="K55" s="11" t="s">
        <v>133</v>
      </c>
      <c r="L55" s="11" t="s">
        <v>53</v>
      </c>
      <c r="M55" s="11" t="s">
        <v>54</v>
      </c>
      <c r="O55" s="10" t="str">
        <f t="shared" si="2"/>
        <v>28</v>
      </c>
    </row>
    <row r="56" spans="2:15" x14ac:dyDescent="0.25">
      <c r="B56" s="11" t="s">
        <v>83</v>
      </c>
      <c r="C56" s="11" t="s">
        <v>135</v>
      </c>
      <c r="D56" s="11" t="s">
        <v>5</v>
      </c>
      <c r="E56" s="11"/>
      <c r="F56" s="11" t="s">
        <v>95</v>
      </c>
      <c r="G56" s="13" t="s">
        <v>136</v>
      </c>
      <c r="H56" s="11" t="s">
        <v>135</v>
      </c>
      <c r="I56" s="11" t="s">
        <v>22</v>
      </c>
      <c r="J56" s="11" t="s">
        <v>119</v>
      </c>
      <c r="K56" s="11" t="s">
        <v>135</v>
      </c>
      <c r="L56" s="11" t="s">
        <v>53</v>
      </c>
      <c r="M56" s="11" t="s">
        <v>54</v>
      </c>
      <c r="O56" s="10" t="str">
        <f t="shared" si="2"/>
        <v>29</v>
      </c>
    </row>
    <row r="57" spans="2:15" x14ac:dyDescent="0.25">
      <c r="B57" s="10"/>
      <c r="C57" s="10" t="s">
        <v>14</v>
      </c>
      <c r="H57" s="10" t="s">
        <v>88</v>
      </c>
      <c r="I57" s="10" t="s">
        <v>88</v>
      </c>
      <c r="J57" s="10" t="s">
        <v>88</v>
      </c>
      <c r="K57" s="10" t="str">
        <f>C57</f>
        <v>고정</v>
      </c>
      <c r="O57" s="10" t="s">
        <v>88</v>
      </c>
    </row>
  </sheetData>
  <mergeCells count="5">
    <mergeCell ref="O3:P3"/>
    <mergeCell ref="B47:B48"/>
    <mergeCell ref="B34:B35"/>
    <mergeCell ref="B21:B22"/>
    <mergeCell ref="G4:K4"/>
  </mergeCells>
  <phoneticPr fontId="3" type="noConversion"/>
  <conditionalFormatting sqref="B23:R23 B36:T36 B49:M49">
    <cfRule type="expression" dxfId="7" priority="8">
      <formula>$A$23="OFF"</formula>
    </cfRule>
  </conditionalFormatting>
  <conditionalFormatting sqref="B24:R24 B37:T37 B50:M50">
    <cfRule type="expression" dxfId="6" priority="7">
      <formula>$A$24="OFF"</formula>
    </cfRule>
  </conditionalFormatting>
  <conditionalFormatting sqref="B25:R25 B38:T38 B51:M51">
    <cfRule type="expression" dxfId="5" priority="6">
      <formula>$A$25="OFF"</formula>
    </cfRule>
  </conditionalFormatting>
  <conditionalFormatting sqref="B26:R26 B39:T39 B52:M52">
    <cfRule type="expression" dxfId="4" priority="5">
      <formula>$A$26="OFF"</formula>
    </cfRule>
  </conditionalFormatting>
  <conditionalFormatting sqref="B27:R27 B40:T40 B53:M53">
    <cfRule type="expression" dxfId="3" priority="4">
      <formula>$A$27="OFF"</formula>
    </cfRule>
  </conditionalFormatting>
  <conditionalFormatting sqref="B28:R28 B41:T41 B54:M54">
    <cfRule type="expression" dxfId="2" priority="3">
      <formula>$A$28="OFF"</formula>
    </cfRule>
  </conditionalFormatting>
  <conditionalFormatting sqref="B29:R29 B42:T42 B55:M55">
    <cfRule type="expression" dxfId="1" priority="2">
      <formula>$A$29="OFF"</formula>
    </cfRule>
  </conditionalFormatting>
  <conditionalFormatting sqref="B30:R30 B43:T43 B56:M56">
    <cfRule type="expression" dxfId="0" priority="1">
      <formula>$A$30="OFF"</formula>
    </cfRule>
  </conditionalFormatting>
  <dataValidations count="1">
    <dataValidation type="list" allowBlank="1" showInputMessage="1" showErrorMessage="1" sqref="A23:A30" xr:uid="{00000000-0002-0000-0000-000000000000}">
      <formula1>"ON, OFF"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2"/>
  <sheetViews>
    <sheetView tabSelected="1" zoomScale="145" zoomScaleNormal="145" workbookViewId="0">
      <selection activeCell="B1" sqref="B1:B1048576"/>
    </sheetView>
  </sheetViews>
  <sheetFormatPr defaultRowHeight="13.5" x14ac:dyDescent="0.25"/>
  <cols>
    <col min="1" max="1" width="93.7109375" style="29" bestFit="1" customWidth="1"/>
  </cols>
  <sheetData>
    <row r="1" spans="1:2" x14ac:dyDescent="0.25">
      <c r="A1" t="s">
        <v>137</v>
      </c>
    </row>
    <row r="2" spans="1:2" x14ac:dyDescent="0.25">
      <c r="A2" t="s">
        <v>138</v>
      </c>
    </row>
    <row r="3" spans="1:2" x14ac:dyDescent="0.25">
      <c r="A3" t="s">
        <v>139</v>
      </c>
    </row>
    <row r="4" spans="1:2" x14ac:dyDescent="0.25">
      <c r="A4" t="s">
        <v>140</v>
      </c>
    </row>
    <row r="5" spans="1:2" x14ac:dyDescent="0.25">
      <c r="A5" t="s">
        <v>141</v>
      </c>
    </row>
    <row r="6" spans="1:2" x14ac:dyDescent="0.25">
      <c r="A6" t="s">
        <v>142</v>
      </c>
    </row>
    <row r="7" spans="1:2" x14ac:dyDescent="0.25">
      <c r="A7" t="s">
        <v>143</v>
      </c>
    </row>
    <row r="8" spans="1:2" x14ac:dyDescent="0.25">
      <c r="A8" t="s">
        <v>144</v>
      </c>
    </row>
    <row r="9" spans="1:2" x14ac:dyDescent="0.25">
      <c r="A9" t="s">
        <v>145</v>
      </c>
    </row>
    <row r="10" spans="1:2" x14ac:dyDescent="0.25">
      <c r="A10" s="4" t="str">
        <f>"          &lt;name&gt;"&amp;'Control-Sheet'!D5&amp;"&lt;/name&gt;"</f>
        <v xml:space="preserve">          &lt;name&gt;1000&lt;/name&gt;</v>
      </c>
    </row>
    <row r="11" spans="1:2" x14ac:dyDescent="0.25">
      <c r="A11" t="s">
        <v>146</v>
      </c>
    </row>
    <row r="12" spans="1:2" x14ac:dyDescent="0.25">
      <c r="A12" s="4" t="str">
        <f>"          &lt;base-interface xmlns="&amp;CHAR(34)&amp;"urn:o-ran:interfaces:1.0"&amp;CHAR(34)&amp;"&gt;"&amp;'Control-Sheet'!D6&amp;"&lt;/base-interface&gt;"</f>
        <v xml:space="preserve">          &lt;base-interface xmlns="urn:o-ran:interfaces:1.0"&gt;sys&lt;/base-interface&gt;</v>
      </c>
      <c r="B12" s="4"/>
    </row>
    <row r="13" spans="1:2" x14ac:dyDescent="0.25">
      <c r="A13" s="4" t="str">
        <f>"          &lt;vlan-id xmlns="&amp;CHAR(34)&amp;"urn:o-ran:interfaces:1.0"&amp;CHAR(34)&amp;"&gt;"&amp;'Control-Sheet'!D7&amp;"&lt;/vlan-id&gt;"</f>
        <v xml:space="preserve">          &lt;vlan-id xmlns="urn:o-ran:interfaces:1.0"&gt;1000&lt;/vlan-id&gt;</v>
      </c>
    </row>
    <row r="14" spans="1:2" x14ac:dyDescent="0.25">
      <c r="A14" s="4" t="str">
        <f>"          &lt;mac-address xmlns="&amp;CHAR(34)&amp;"urn:o-ran:interfaces:1.0"&amp;CHAR(34)&amp;"&gt;"&amp;'Control-Sheet'!D8&amp;"&lt;/mac-address&gt;"</f>
        <v xml:space="preserve">          &lt;mac-address xmlns="urn:o-ran:interfaces:1.0"&gt;dc:c1:01:00:05:05&lt;/mac-address&gt;</v>
      </c>
      <c r="B14" s="4"/>
    </row>
    <row r="15" spans="1:2" x14ac:dyDescent="0.25">
      <c r="A15" t="s">
        <v>147</v>
      </c>
    </row>
    <row r="16" spans="1:2" x14ac:dyDescent="0.25">
      <c r="A16" t="s">
        <v>148</v>
      </c>
      <c r="B16" s="4"/>
    </row>
    <row r="17" spans="1:2" x14ac:dyDescent="0.25">
      <c r="A17" t="s">
        <v>149</v>
      </c>
      <c r="B17" s="4"/>
    </row>
    <row r="18" spans="1:2" x14ac:dyDescent="0.25">
      <c r="A18" t="s">
        <v>150</v>
      </c>
      <c r="B18" s="4"/>
    </row>
    <row r="19" spans="1:2" x14ac:dyDescent="0.25">
      <c r="A19" t="s">
        <v>151</v>
      </c>
    </row>
    <row r="20" spans="1:2" x14ac:dyDescent="0.25">
      <c r="A20" t="s">
        <v>152</v>
      </c>
    </row>
    <row r="21" spans="1:2" x14ac:dyDescent="0.25">
      <c r="A21" t="s">
        <v>153</v>
      </c>
    </row>
    <row r="22" spans="1:2" x14ac:dyDescent="0.25">
      <c r="A22" t="s">
        <v>154</v>
      </c>
    </row>
  </sheetData>
  <phoneticPr fontId="3" type="noConversion"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9"/>
  <sheetViews>
    <sheetView zoomScale="115" zoomScaleNormal="115" workbookViewId="0">
      <selection activeCell="D46" sqref="B1:D46"/>
    </sheetView>
  </sheetViews>
  <sheetFormatPr defaultRowHeight="13.5" x14ac:dyDescent="0.25"/>
  <cols>
    <col min="1" max="1" width="66.7109375" style="29" bestFit="1" customWidth="1"/>
  </cols>
  <sheetData>
    <row r="1" spans="1:1" x14ac:dyDescent="0.25">
      <c r="A1" t="s">
        <v>155</v>
      </c>
    </row>
    <row r="2" spans="1:1" x14ac:dyDescent="0.25">
      <c r="A2" t="s">
        <v>137</v>
      </c>
    </row>
    <row r="3" spans="1:1" x14ac:dyDescent="0.25">
      <c r="A3" t="s">
        <v>138</v>
      </c>
    </row>
    <row r="4" spans="1:1" x14ac:dyDescent="0.25">
      <c r="A4" t="s">
        <v>139</v>
      </c>
    </row>
    <row r="5" spans="1:1" x14ac:dyDescent="0.25">
      <c r="A5" t="s">
        <v>140</v>
      </c>
    </row>
    <row r="6" spans="1:1" x14ac:dyDescent="0.25">
      <c r="A6" t="s">
        <v>141</v>
      </c>
    </row>
    <row r="7" spans="1:1" x14ac:dyDescent="0.25">
      <c r="A7" t="s">
        <v>142</v>
      </c>
    </row>
    <row r="8" spans="1:1" x14ac:dyDescent="0.25">
      <c r="A8" t="s">
        <v>143</v>
      </c>
    </row>
    <row r="9" spans="1:1" x14ac:dyDescent="0.25">
      <c r="A9" t="s">
        <v>156</v>
      </c>
    </row>
    <row r="10" spans="1:1" x14ac:dyDescent="0.25">
      <c r="A10" t="s">
        <v>157</v>
      </c>
    </row>
    <row r="11" spans="1:1" x14ac:dyDescent="0.25">
      <c r="A11" t="s">
        <v>158</v>
      </c>
    </row>
    <row r="12" spans="1:1" x14ac:dyDescent="0.25">
      <c r="A12" s="4" t="str">
        <f>"          &lt;name&gt;"&amp;'Control-Sheet'!D13&amp;"&lt;/name&gt;"</f>
        <v xml:space="preserve">          &lt;name&gt;ru-pe.0&lt;/name&gt;</v>
      </c>
    </row>
    <row r="13" spans="1:1" x14ac:dyDescent="0.25">
      <c r="A13" t="s">
        <v>159</v>
      </c>
    </row>
    <row r="14" spans="1:1" x14ac:dyDescent="0.25">
      <c r="A14" s="4" t="str">
        <f>"            &lt;interface-name&gt;"&amp;'Control-Sheet'!D5&amp;"&lt;/interface-name&gt;"</f>
        <v xml:space="preserve">            &lt;interface-name&gt;1000&lt;/interface-name&gt;</v>
      </c>
    </row>
    <row r="15" spans="1:1" x14ac:dyDescent="0.25">
      <c r="A15" t="s">
        <v>160</v>
      </c>
    </row>
    <row r="16" spans="1:1" x14ac:dyDescent="0.25">
      <c r="A16" s="4" t="str">
        <f>"              &lt;ru-mac-address&gt;"&amp;'Control-Sheet'!D8&amp;"&lt;/ru-mac-address&gt;"</f>
        <v xml:space="preserve">              &lt;ru-mac-address&gt;dc:c1:01:00:05:05&lt;/ru-mac-address&gt;</v>
      </c>
    </row>
    <row r="17" spans="1:1" x14ac:dyDescent="0.25">
      <c r="A17" s="4" t="str">
        <f>"              &lt;vlan-id&gt;"&amp;'Control-Sheet'!D7&amp;"&lt;/vlan-id&gt;"</f>
        <v xml:space="preserve">              &lt;vlan-id&gt;1000&lt;/vlan-id&gt;</v>
      </c>
    </row>
    <row r="18" spans="1:1" x14ac:dyDescent="0.25">
      <c r="A18" s="4" t="str">
        <f>"              &lt;o-du-mac-address&gt;"&amp;'Control-Sheet'!D14&amp;"&lt;/o-du-mac-address&gt;"</f>
        <v xml:space="preserve">              &lt;o-du-mac-address&gt;00:11:22:33:44:55&lt;/o-du-mac-address&gt;</v>
      </c>
    </row>
    <row r="19" spans="1:1" x14ac:dyDescent="0.25">
      <c r="A19" t="s">
        <v>161</v>
      </c>
    </row>
    <row r="20" spans="1:1" x14ac:dyDescent="0.25">
      <c r="A20" t="s">
        <v>162</v>
      </c>
    </row>
    <row r="21" spans="1:1" x14ac:dyDescent="0.25">
      <c r="A21" t="s">
        <v>163</v>
      </c>
    </row>
    <row r="22" spans="1:1" x14ac:dyDescent="0.25">
      <c r="A22" t="s">
        <v>164</v>
      </c>
    </row>
    <row r="23" spans="1:1" x14ac:dyDescent="0.25">
      <c r="A23" t="s">
        <v>152</v>
      </c>
    </row>
    <row r="24" spans="1:1" x14ac:dyDescent="0.25">
      <c r="A24" t="s">
        <v>153</v>
      </c>
    </row>
    <row r="25" spans="1:1" x14ac:dyDescent="0.25">
      <c r="A25" t="s">
        <v>154</v>
      </c>
    </row>
    <row r="39" spans="4:4" x14ac:dyDescent="0.25">
      <c r="D39" s="4"/>
    </row>
  </sheetData>
  <phoneticPr fontId="3" type="noConversion"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7"/>
  <sheetViews>
    <sheetView topLeftCell="A334" zoomScaleNormal="100" workbookViewId="0">
      <selection activeCell="A266" sqref="A266"/>
    </sheetView>
  </sheetViews>
  <sheetFormatPr defaultRowHeight="13.5" x14ac:dyDescent="0.25"/>
  <cols>
    <col min="1" max="1" width="82.28515625" style="29" bestFit="1" customWidth="1"/>
    <col min="2" max="2" width="79" style="29" bestFit="1" customWidth="1"/>
  </cols>
  <sheetData>
    <row r="1" spans="1:1" x14ac:dyDescent="0.25">
      <c r="A1" t="s">
        <v>155</v>
      </c>
    </row>
    <row r="2" spans="1:1" x14ac:dyDescent="0.25">
      <c r="A2" t="s">
        <v>137</v>
      </c>
    </row>
    <row r="3" spans="1:1" x14ac:dyDescent="0.25">
      <c r="A3" t="s">
        <v>138</v>
      </c>
    </row>
    <row r="4" spans="1:1" x14ac:dyDescent="0.25">
      <c r="A4" t="s">
        <v>139</v>
      </c>
    </row>
    <row r="5" spans="1:1" x14ac:dyDescent="0.25">
      <c r="A5" t="s">
        <v>140</v>
      </c>
    </row>
    <row r="6" spans="1:1" x14ac:dyDescent="0.25">
      <c r="A6" t="s">
        <v>141</v>
      </c>
    </row>
    <row r="7" spans="1:1" x14ac:dyDescent="0.25">
      <c r="A7" t="s">
        <v>142</v>
      </c>
    </row>
    <row r="8" spans="1:1" x14ac:dyDescent="0.25">
      <c r="A8" t="s">
        <v>143</v>
      </c>
    </row>
    <row r="9" spans="1:1" x14ac:dyDescent="0.25">
      <c r="A9" t="s">
        <v>165</v>
      </c>
    </row>
    <row r="10" spans="1:1" x14ac:dyDescent="0.25">
      <c r="A10" s="20"/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6" t="s">
        <v>166</v>
      </c>
    </row>
    <row r="13" spans="1:1" x14ac:dyDescent="0.25">
      <c r="A13" s="7" t="str">
        <f>"          &lt;name&gt;"&amp;'Control-Sheet'!$C23&amp;"&lt;/name&gt;"</f>
        <v xml:space="preserve">          &lt;name&gt;llte_0_0_0_1_0_0&lt;/name&gt;</v>
      </c>
    </row>
    <row r="14" spans="1:1" x14ac:dyDescent="0.25">
      <c r="A14" s="6" t="s">
        <v>167</v>
      </c>
    </row>
    <row r="15" spans="1:1" x14ac:dyDescent="0.25">
      <c r="A15" s="6" t="s">
        <v>168</v>
      </c>
    </row>
    <row r="16" spans="1:1" x14ac:dyDescent="0.25">
      <c r="A16" s="7" t="str">
        <f>_xlfn.IFS('Control-Sheet'!M23="exponent", 'Control-Sheet'!$G$5, 'Control-Sheet'!M23="BFP", 'Control-Sheet'!$G$6, TRUE, "")</f>
        <v/>
      </c>
    </row>
    <row r="17" spans="1:7" x14ac:dyDescent="0.25">
      <c r="A17" s="7" t="str">
        <f>"          &lt;iq-bitwidth&gt;"&amp;'Control-Sheet'!L23&amp;"&lt;/iq-bitwidth&gt;"</f>
        <v xml:space="preserve">          &lt;iq-bitwidth&gt;16&lt;/iq-bitwidth&gt;</v>
      </c>
    </row>
    <row r="18" spans="1:7" x14ac:dyDescent="0.25">
      <c r="A18" s="6" t="s">
        <v>169</v>
      </c>
    </row>
    <row r="19" spans="1:7" x14ac:dyDescent="0.25">
      <c r="A19" s="6" t="s">
        <v>170</v>
      </c>
    </row>
    <row r="20" spans="1:7" x14ac:dyDescent="0.25">
      <c r="A20" s="6" t="s">
        <v>171</v>
      </c>
    </row>
    <row r="21" spans="1:7" x14ac:dyDescent="0.25">
      <c r="A21" s="6" t="s">
        <v>172</v>
      </c>
    </row>
    <row r="22" spans="1:7" x14ac:dyDescent="0.25">
      <c r="A22" s="6" t="s">
        <v>173</v>
      </c>
      <c r="G22" s="20"/>
    </row>
    <row r="23" spans="1:7" x14ac:dyDescent="0.25">
      <c r="A23" s="9" t="s">
        <v>174</v>
      </c>
    </row>
    <row r="24" spans="1:7" x14ac:dyDescent="0.25">
      <c r="A24" s="6" t="s">
        <v>175</v>
      </c>
    </row>
    <row r="25" spans="1:7" x14ac:dyDescent="0.25">
      <c r="A25" s="7" t="str">
        <f>"            &lt;scs&gt;"&amp;'Control-Sheet'!$D23&amp;"&lt;/scs&gt;"</f>
        <v xml:space="preserve">            &lt;scs&gt;KHZ_15&lt;/scs&gt;</v>
      </c>
      <c r="G25" s="20"/>
    </row>
    <row r="26" spans="1:7" x14ac:dyDescent="0.25">
      <c r="A26" s="8" t="str">
        <f>"            &lt;number-of-prb&gt;"&amp;'Control-Sheet'!$E23&amp;"&lt;/number-of-prb&gt;"</f>
        <v xml:space="preserve">            &lt;number-of-prb&gt;106&lt;/number-of-prb&gt;</v>
      </c>
    </row>
    <row r="27" spans="1:7" x14ac:dyDescent="0.25">
      <c r="A27" s="6" t="s">
        <v>176</v>
      </c>
      <c r="E27" s="27"/>
    </row>
    <row r="28" spans="1:7" x14ac:dyDescent="0.25">
      <c r="A28" s="6" t="s">
        <v>177</v>
      </c>
      <c r="G28" s="20"/>
    </row>
    <row r="29" spans="1:7" x14ac:dyDescent="0.25">
      <c r="A29" s="6" t="s">
        <v>178</v>
      </c>
      <c r="G29" s="20"/>
    </row>
    <row r="30" spans="1:7" x14ac:dyDescent="0.25">
      <c r="A30" s="6" t="s">
        <v>179</v>
      </c>
    </row>
    <row r="31" spans="1:7" x14ac:dyDescent="0.25">
      <c r="A31" s="6" t="s">
        <v>180</v>
      </c>
    </row>
    <row r="32" spans="1:7" x14ac:dyDescent="0.25">
      <c r="A32" s="6" t="s">
        <v>181</v>
      </c>
    </row>
    <row r="33" spans="1:1" x14ac:dyDescent="0.25">
      <c r="A33" s="7" t="str">
        <f>"            &lt;eaxc-id&gt;"&amp;'Control-Sheet'!$F23&amp;"&lt;/eaxc-id&gt;"</f>
        <v xml:space="preserve">            &lt;eaxc-id&gt;2&lt;/eaxc-id&gt;</v>
      </c>
    </row>
    <row r="34" spans="1:1" x14ac:dyDescent="0.25">
      <c r="A34" s="6" t="s">
        <v>182</v>
      </c>
    </row>
    <row r="35" spans="1:1" x14ac:dyDescent="0.25">
      <c r="A35" s="6" t="s">
        <v>183</v>
      </c>
    </row>
    <row r="36" spans="1:1" x14ac:dyDescent="0.25">
      <c r="A36" s="5" t="s">
        <v>184</v>
      </c>
    </row>
    <row r="37" spans="1:1" x14ac:dyDescent="0.25">
      <c r="A37" s="15" t="str">
        <f>"          &lt;name&gt;"&amp;'Control-Sheet'!$K23&amp;"&lt;/name&gt;"</f>
        <v xml:space="preserve">          &lt;name&gt;tac_0_0_0_1&lt;/name&gt;</v>
      </c>
    </row>
    <row r="38" spans="1:1" x14ac:dyDescent="0.25">
      <c r="A38" s="5" t="s">
        <v>185</v>
      </c>
    </row>
    <row r="39" spans="1:1" x14ac:dyDescent="0.25">
      <c r="A39" s="16" t="str">
        <f>"          &lt;center-of-channel-bandwidth&gt;"&amp;'Control-Sheet'!$N23*10^6&amp;"&lt;/center-of-channel-bandwidth&gt;"</f>
        <v xml:space="preserve">          &lt;center-of-channel-bandwidth&gt;3415000000&lt;/center-of-channel-bandwidth&gt;</v>
      </c>
    </row>
    <row r="40" spans="1:1" x14ac:dyDescent="0.25">
      <c r="A40" s="16" t="str">
        <f>"          &lt;channel-bandwidth&gt;"&amp;'Control-Sheet'!$O23*10^6&amp;"&lt;/channel-bandwidth&gt;"</f>
        <v xml:space="preserve">          &lt;channel-bandwidth&gt;10000000&lt;/channel-bandwidth&gt;</v>
      </c>
    </row>
    <row r="41" spans="1:1" x14ac:dyDescent="0.25">
      <c r="A41" s="5" t="s">
        <v>186</v>
      </c>
    </row>
    <row r="42" spans="1:1" x14ac:dyDescent="0.25">
      <c r="A42" s="16" t="str">
        <f>"          &lt;type&gt;"&amp;'Control-Sheet'!$P23&amp;"&lt;/type&gt;"</f>
        <v xml:space="preserve">          &lt;type&gt;NR&lt;/type&gt;</v>
      </c>
    </row>
    <row r="43" spans="1:1" x14ac:dyDescent="0.25">
      <c r="A43" s="5" t="s">
        <v>187</v>
      </c>
    </row>
    <row r="44" spans="1:1" x14ac:dyDescent="0.25">
      <c r="A44" s="5" t="s">
        <v>188</v>
      </c>
    </row>
    <row r="45" spans="1:1" x14ac:dyDescent="0.25">
      <c r="A45" s="16" t="str">
        <f>"          &lt;gain&gt;"&amp;'Control-Sheet'!$Q23&amp;"&lt;/gain&gt;"</f>
        <v xml:space="preserve">          &lt;gain&gt;7&lt;/gain&gt;</v>
      </c>
    </row>
    <row r="46" spans="1:1" x14ac:dyDescent="0.25">
      <c r="A46" s="16" t="str">
        <f>IF('Control-Sheet'!R23="", "", "          &lt;t-da-offset&gt;" &amp; 'Control-Sheet'!R23 &amp; "&lt;/t-da-offset&gt;")</f>
        <v/>
      </c>
    </row>
    <row r="47" spans="1:1" x14ac:dyDescent="0.25">
      <c r="A47" s="5" t="s">
        <v>189</v>
      </c>
    </row>
    <row r="48" spans="1:1" x14ac:dyDescent="0.25">
      <c r="A48" s="14" t="s">
        <v>190</v>
      </c>
    </row>
    <row r="49" spans="1:1" x14ac:dyDescent="0.25">
      <c r="A49" s="17" t="str">
        <f>"          &lt;name&gt;"&amp;'Control-Sheet'!$G23&amp;"&lt;/name&gt;"</f>
        <v xml:space="preserve">          &lt;name&gt;llte_0_0_0_1_0_0&lt;/name&gt;</v>
      </c>
    </row>
    <row r="50" spans="1:1" x14ac:dyDescent="0.25">
      <c r="A50" s="18" t="str">
        <f>"          &lt;processing-element&gt;"&amp;'Control-Sheet'!$H23&amp;"&lt;/processing-element&gt;"</f>
        <v xml:space="preserve">          &lt;processing-element&gt;ru-pe.0&lt;/processing-element&gt;</v>
      </c>
    </row>
    <row r="51" spans="1:1" x14ac:dyDescent="0.25">
      <c r="A51" s="18" t="str">
        <f>"          &lt;tx-array-carrier&gt;"&amp;'Control-Sheet'!$I23&amp;"&lt;/tx-array-carrier&gt;"</f>
        <v xml:space="preserve">          &lt;tx-array-carrier&gt;tac_0_0_0_1&lt;/tx-array-carrier&gt;</v>
      </c>
    </row>
    <row r="52" spans="1:1" x14ac:dyDescent="0.25">
      <c r="A52" s="18" t="str">
        <f>"          &lt;low-level-tx-endpoint&gt;"&amp;'Control-Sheet'!$J23&amp;"&lt;/low-level-tx-endpoint&gt;"</f>
        <v xml:space="preserve">          &lt;low-level-tx-endpoint&gt;llte_0_0_0_1_0_0&lt;/low-level-tx-endpoint&gt;</v>
      </c>
    </row>
    <row r="53" spans="1:1" x14ac:dyDescent="0.25">
      <c r="A53" s="14" t="s">
        <v>191</v>
      </c>
    </row>
    <row r="54" spans="1:1" x14ac:dyDescent="0.25">
      <c r="A54" t="str">
        <f>_xlfn.IFS('Control-Sheet'!$A$23="OFF", 'Control-Sheet'!$K$6, TRUE, "")</f>
        <v/>
      </c>
    </row>
    <row r="55" spans="1:1" x14ac:dyDescent="0.25">
      <c r="A55" t="str">
        <f>_xlfn.IFS('Control-Sheet'!$A$24="OFF", 'Control-Sheet'!$K$5, TRUE, "")</f>
        <v/>
      </c>
    </row>
    <row r="56" spans="1:1" x14ac:dyDescent="0.25">
      <c r="A56" s="6" t="s">
        <v>166</v>
      </c>
    </row>
    <row r="57" spans="1:1" x14ac:dyDescent="0.25">
      <c r="A57" s="7" t="str">
        <f>"          &lt;name&gt;"&amp;'Control-Sheet'!$C24&amp;"&lt;/name&gt;"</f>
        <v xml:space="preserve">          &lt;name&gt;llte_0_0_1_1_0_0&lt;/name&gt;</v>
      </c>
    </row>
    <row r="58" spans="1:1" x14ac:dyDescent="0.25">
      <c r="A58" s="6" t="s">
        <v>167</v>
      </c>
    </row>
    <row r="59" spans="1:1" x14ac:dyDescent="0.25">
      <c r="A59" s="6" t="s">
        <v>168</v>
      </c>
    </row>
    <row r="60" spans="1:1" x14ac:dyDescent="0.25">
      <c r="A60" s="7" t="str">
        <f>_xlfn.IFS('Control-Sheet'!M24="exponent", 'Control-Sheet'!$G$5, 'Control-Sheet'!M24="BFP", 'Control-Sheet'!$G$6, TRUE, "")</f>
        <v/>
      </c>
    </row>
    <row r="61" spans="1:1" x14ac:dyDescent="0.25">
      <c r="A61" s="7" t="str">
        <f>"          &lt;iq-bitwidth&gt;"&amp;'Control-Sheet'!L24&amp;"&lt;/iq-bitwidth&gt;"</f>
        <v xml:space="preserve">          &lt;iq-bitwidth&gt;16&lt;/iq-bitwidth&gt;</v>
      </c>
    </row>
    <row r="62" spans="1:1" x14ac:dyDescent="0.25">
      <c r="A62" s="6" t="s">
        <v>169</v>
      </c>
    </row>
    <row r="63" spans="1:1" x14ac:dyDescent="0.25">
      <c r="A63" s="6" t="s">
        <v>170</v>
      </c>
    </row>
    <row r="64" spans="1:1" x14ac:dyDescent="0.25">
      <c r="A64" s="6" t="s">
        <v>171</v>
      </c>
    </row>
    <row r="65" spans="1:1" x14ac:dyDescent="0.25">
      <c r="A65" s="6" t="s">
        <v>172</v>
      </c>
    </row>
    <row r="66" spans="1:1" x14ac:dyDescent="0.25">
      <c r="A66" s="6" t="s">
        <v>173</v>
      </c>
    </row>
    <row r="67" spans="1:1" x14ac:dyDescent="0.25">
      <c r="A67" s="9" t="s">
        <v>174</v>
      </c>
    </row>
    <row r="68" spans="1:1" x14ac:dyDescent="0.25">
      <c r="A68" s="6" t="s">
        <v>175</v>
      </c>
    </row>
    <row r="69" spans="1:1" x14ac:dyDescent="0.25">
      <c r="A69" s="7" t="str">
        <f>"            &lt;scs&gt;"&amp;'Control-Sheet'!$D24&amp;"&lt;/scs&gt;"</f>
        <v xml:space="preserve">            &lt;scs&gt;KHZ_15&lt;/scs&gt;</v>
      </c>
    </row>
    <row r="70" spans="1:1" x14ac:dyDescent="0.25">
      <c r="A70" s="8" t="str">
        <f>"            &lt;number-of-prb&gt;"&amp;'Control-Sheet'!$E24&amp;"&lt;/number-of-prb&gt;"</f>
        <v xml:space="preserve">            &lt;number-of-prb&gt;106&lt;/number-of-prb&gt;</v>
      </c>
    </row>
    <row r="71" spans="1:1" x14ac:dyDescent="0.25">
      <c r="A71" s="6" t="s">
        <v>176</v>
      </c>
    </row>
    <row r="72" spans="1:1" x14ac:dyDescent="0.25">
      <c r="A72" s="6" t="s">
        <v>177</v>
      </c>
    </row>
    <row r="73" spans="1:1" x14ac:dyDescent="0.25">
      <c r="A73" s="6" t="s">
        <v>178</v>
      </c>
    </row>
    <row r="74" spans="1:1" x14ac:dyDescent="0.25">
      <c r="A74" s="6" t="s">
        <v>179</v>
      </c>
    </row>
    <row r="75" spans="1:1" x14ac:dyDescent="0.25">
      <c r="A75" s="6" t="s">
        <v>180</v>
      </c>
    </row>
    <row r="76" spans="1:1" x14ac:dyDescent="0.25">
      <c r="A76" s="6" t="s">
        <v>181</v>
      </c>
    </row>
    <row r="77" spans="1:1" x14ac:dyDescent="0.25">
      <c r="A77" s="7" t="str">
        <f>"            &lt;eaxc-id&gt;"&amp;'Control-Sheet'!$F24&amp;"&lt;/eaxc-id&gt;"</f>
        <v xml:space="preserve">            &lt;eaxc-id&gt;3&lt;/eaxc-id&gt;</v>
      </c>
    </row>
    <row r="78" spans="1:1" x14ac:dyDescent="0.25">
      <c r="A78" s="6" t="s">
        <v>182</v>
      </c>
    </row>
    <row r="79" spans="1:1" x14ac:dyDescent="0.25">
      <c r="A79" s="6" t="s">
        <v>183</v>
      </c>
    </row>
    <row r="80" spans="1:1" x14ac:dyDescent="0.25">
      <c r="A80" s="5" t="s">
        <v>184</v>
      </c>
    </row>
    <row r="81" spans="1:1" x14ac:dyDescent="0.25">
      <c r="A81" s="15" t="str">
        <f>"          &lt;name&gt;"&amp;'Control-Sheet'!$K24&amp;"&lt;/name&gt;"</f>
        <v xml:space="preserve">          &lt;name&gt;tac_0_0_1_1&lt;/name&gt;</v>
      </c>
    </row>
    <row r="82" spans="1:1" x14ac:dyDescent="0.25">
      <c r="A82" s="5" t="s">
        <v>185</v>
      </c>
    </row>
    <row r="83" spans="1:1" x14ac:dyDescent="0.25">
      <c r="A83" s="16" t="str">
        <f>"          &lt;center-of-channel-bandwidth&gt;"&amp;'Control-Sheet'!$N24*10^6&amp;"&lt;/center-of-channel-bandwidth&gt;"</f>
        <v xml:space="preserve">          &lt;center-of-channel-bandwidth&gt;3445000000&lt;/center-of-channel-bandwidth&gt;</v>
      </c>
    </row>
    <row r="84" spans="1:1" x14ac:dyDescent="0.25">
      <c r="A84" s="16" t="str">
        <f>"          &lt;channel-bandwidth&gt;"&amp;'Control-Sheet'!$O24*10^6&amp;"&lt;/channel-bandwidth&gt;"</f>
        <v xml:space="preserve">          &lt;channel-bandwidth&gt;10000000&lt;/channel-bandwidth&gt;</v>
      </c>
    </row>
    <row r="85" spans="1:1" x14ac:dyDescent="0.25">
      <c r="A85" s="5" t="s">
        <v>186</v>
      </c>
    </row>
    <row r="86" spans="1:1" x14ac:dyDescent="0.25">
      <c r="A86" s="16" t="str">
        <f>"          &lt;type&gt;"&amp;'Control-Sheet'!$P24&amp;"&lt;/type&gt;"</f>
        <v xml:space="preserve">          &lt;type&gt;NR&lt;/type&gt;</v>
      </c>
    </row>
    <row r="87" spans="1:1" x14ac:dyDescent="0.25">
      <c r="A87" s="5" t="s">
        <v>187</v>
      </c>
    </row>
    <row r="88" spans="1:1" x14ac:dyDescent="0.25">
      <c r="A88" s="5" t="s">
        <v>188</v>
      </c>
    </row>
    <row r="89" spans="1:1" x14ac:dyDescent="0.25">
      <c r="A89" s="16" t="str">
        <f>"          &lt;gain&gt;"&amp;'Control-Sheet'!$Q24&amp;"&lt;/gain&gt;"</f>
        <v xml:space="preserve">          &lt;gain&gt;7&lt;/gain&gt;</v>
      </c>
    </row>
    <row r="90" spans="1:1" x14ac:dyDescent="0.25">
      <c r="A90" s="16" t="str">
        <f>IF('Control-Sheet'!R24="", "", "          &lt;t-da-offset&gt;" &amp; 'Control-Sheet'!R24 &amp; "&lt;/t-da-offset&gt;")</f>
        <v/>
      </c>
    </row>
    <row r="91" spans="1:1" x14ac:dyDescent="0.25">
      <c r="A91" s="5" t="s">
        <v>189</v>
      </c>
    </row>
    <row r="92" spans="1:1" x14ac:dyDescent="0.25">
      <c r="A92" s="14" t="s">
        <v>190</v>
      </c>
    </row>
    <row r="93" spans="1:1" x14ac:dyDescent="0.25">
      <c r="A93" s="17" t="str">
        <f>"          &lt;name&gt;"&amp;'Control-Sheet'!$G24&amp;"&lt;/name&gt;"</f>
        <v xml:space="preserve">          &lt;name&gt;llte_0_0_1_1_0_0&lt;/name&gt;</v>
      </c>
    </row>
    <row r="94" spans="1:1" x14ac:dyDescent="0.25">
      <c r="A94" s="18" t="str">
        <f>"          &lt;processing-element&gt;"&amp;'Control-Sheet'!$H24&amp;"&lt;/processing-element&gt;"</f>
        <v xml:space="preserve">          &lt;processing-element&gt;ru-pe.0&lt;/processing-element&gt;</v>
      </c>
    </row>
    <row r="95" spans="1:1" x14ac:dyDescent="0.25">
      <c r="A95" s="18" t="str">
        <f>"          &lt;tx-array-carrier&gt;"&amp;'Control-Sheet'!$I24&amp;"&lt;/tx-array-carrier&gt;"</f>
        <v xml:space="preserve">          &lt;tx-array-carrier&gt;tac_0_0_1_1&lt;/tx-array-carrier&gt;</v>
      </c>
    </row>
    <row r="96" spans="1:1" x14ac:dyDescent="0.25">
      <c r="A96" s="18" t="str">
        <f>"          &lt;low-level-tx-endpoint&gt;"&amp;'Control-Sheet'!$J24&amp;"&lt;/low-level-tx-endpoint&gt;"</f>
        <v xml:space="preserve">          &lt;low-level-tx-endpoint&gt;llte_0_0_1_1_0_0&lt;/low-level-tx-endpoint&gt;</v>
      </c>
    </row>
    <row r="97" spans="1:1" x14ac:dyDescent="0.25">
      <c r="A97" s="14" t="s">
        <v>191</v>
      </c>
    </row>
    <row r="98" spans="1:1" x14ac:dyDescent="0.25">
      <c r="A98" t="str">
        <f>_xlfn.IFS('Control-Sheet'!$A$24="OFF", 'Control-Sheet'!$K$6, TRUE, "")</f>
        <v/>
      </c>
    </row>
    <row r="99" spans="1:1" x14ac:dyDescent="0.25">
      <c r="A99" t="str">
        <f>_xlfn.IFS('Control-Sheet'!$A$25="OFF", 'Control-Sheet'!$K$5, TRUE, "")</f>
        <v/>
      </c>
    </row>
    <row r="100" spans="1:1" x14ac:dyDescent="0.25">
      <c r="A100" s="6" t="s">
        <v>166</v>
      </c>
    </row>
    <row r="101" spans="1:1" x14ac:dyDescent="0.25">
      <c r="A101" s="7" t="str">
        <f>"          &lt;name&gt;"&amp;'Control-Sheet'!$C25&amp;"&lt;/name&gt;"</f>
        <v xml:space="preserve">          &lt;name&gt;llte_0_0_0_2_0_0&lt;/name&gt;</v>
      </c>
    </row>
    <row r="102" spans="1:1" x14ac:dyDescent="0.25">
      <c r="A102" s="6" t="s">
        <v>167</v>
      </c>
    </row>
    <row r="103" spans="1:1" x14ac:dyDescent="0.25">
      <c r="A103" s="6" t="s">
        <v>168</v>
      </c>
    </row>
    <row r="104" spans="1:1" x14ac:dyDescent="0.25">
      <c r="A104" s="7" t="str">
        <f>_xlfn.IFS('Control-Sheet'!M25="EXPONENT", 'Control-Sheet'!$G$5, 'Control-Sheet'!M25="BFP", 'Control-Sheet'!$G$6, TRUE, "")</f>
        <v/>
      </c>
    </row>
    <row r="105" spans="1:1" x14ac:dyDescent="0.25">
      <c r="A105" s="7" t="str">
        <f>"          &lt;iq-bitwidth&gt;"&amp;'Control-Sheet'!L25&amp;"&lt;/iq-bitwidth&gt;"</f>
        <v xml:space="preserve">          &lt;iq-bitwidth&gt;16&lt;/iq-bitwidth&gt;</v>
      </c>
    </row>
    <row r="106" spans="1:1" x14ac:dyDescent="0.25">
      <c r="A106" s="6" t="s">
        <v>169</v>
      </c>
    </row>
    <row r="107" spans="1:1" x14ac:dyDescent="0.25">
      <c r="A107" s="6" t="s">
        <v>170</v>
      </c>
    </row>
    <row r="108" spans="1:1" x14ac:dyDescent="0.25">
      <c r="A108" s="6" t="s">
        <v>171</v>
      </c>
    </row>
    <row r="109" spans="1:1" x14ac:dyDescent="0.25">
      <c r="A109" s="6" t="s">
        <v>172</v>
      </c>
    </row>
    <row r="110" spans="1:1" x14ac:dyDescent="0.25">
      <c r="A110" s="6" t="s">
        <v>173</v>
      </c>
    </row>
    <row r="111" spans="1:1" x14ac:dyDescent="0.25">
      <c r="A111" s="9" t="s">
        <v>174</v>
      </c>
    </row>
    <row r="112" spans="1:1" x14ac:dyDescent="0.25">
      <c r="A112" s="6" t="s">
        <v>175</v>
      </c>
    </row>
    <row r="113" spans="1:1" x14ac:dyDescent="0.25">
      <c r="A113" s="7" t="str">
        <f>"            &lt;scs&gt;"&amp;'Control-Sheet'!$D25&amp;"&lt;/scs&gt;"</f>
        <v xml:space="preserve">            &lt;scs&gt;KHZ_15&lt;/scs&gt;</v>
      </c>
    </row>
    <row r="114" spans="1:1" x14ac:dyDescent="0.25">
      <c r="A114" s="8" t="str">
        <f>"            &lt;number-of-prb&gt;"&amp;'Control-Sheet'!$E25&amp;"&lt;/number-of-prb&gt;"</f>
        <v xml:space="preserve">            &lt;number-of-prb&gt;106&lt;/number-of-prb&gt;</v>
      </c>
    </row>
    <row r="115" spans="1:1" x14ac:dyDescent="0.25">
      <c r="A115" s="6" t="s">
        <v>176</v>
      </c>
    </row>
    <row r="116" spans="1:1" x14ac:dyDescent="0.25">
      <c r="A116" s="6" t="s">
        <v>177</v>
      </c>
    </row>
    <row r="117" spans="1:1" x14ac:dyDescent="0.25">
      <c r="A117" s="6" t="s">
        <v>178</v>
      </c>
    </row>
    <row r="118" spans="1:1" x14ac:dyDescent="0.25">
      <c r="A118" s="6" t="s">
        <v>179</v>
      </c>
    </row>
    <row r="119" spans="1:1" x14ac:dyDescent="0.25">
      <c r="A119" s="6" t="s">
        <v>180</v>
      </c>
    </row>
    <row r="120" spans="1:1" x14ac:dyDescent="0.25">
      <c r="A120" s="6" t="s">
        <v>181</v>
      </c>
    </row>
    <row r="121" spans="1:1" x14ac:dyDescent="0.25">
      <c r="A121" s="7" t="str">
        <f>"            &lt;eaxc-id&gt;"&amp;'Control-Sheet'!$F25&amp;"&lt;/eaxc-id&gt;"</f>
        <v xml:space="preserve">            &lt;eaxc-id&gt;4&lt;/eaxc-id&gt;</v>
      </c>
    </row>
    <row r="122" spans="1:1" x14ac:dyDescent="0.25">
      <c r="A122" s="6" t="s">
        <v>182</v>
      </c>
    </row>
    <row r="123" spans="1:1" x14ac:dyDescent="0.25">
      <c r="A123" s="6" t="s">
        <v>183</v>
      </c>
    </row>
    <row r="124" spans="1:1" x14ac:dyDescent="0.25">
      <c r="A124" s="5" t="s">
        <v>184</v>
      </c>
    </row>
    <row r="125" spans="1:1" x14ac:dyDescent="0.25">
      <c r="A125" s="15" t="str">
        <f>"          &lt;name&gt;"&amp;'Control-Sheet'!$K25&amp;"&lt;/name&gt;"</f>
        <v xml:space="preserve">          &lt;name&gt;tac_0_0_0_2&lt;/name&gt;</v>
      </c>
    </row>
    <row r="126" spans="1:1" x14ac:dyDescent="0.25">
      <c r="A126" s="5" t="s">
        <v>185</v>
      </c>
    </row>
    <row r="127" spans="1:1" x14ac:dyDescent="0.25">
      <c r="A127" s="16" t="str">
        <f>"          &lt;center-of-channel-bandwidth&gt;"&amp;'Control-Sheet'!$N25*10^6&amp;"&lt;/center-of-channel-bandwidth&gt;"</f>
        <v xml:space="preserve">          &lt;center-of-channel-bandwidth&gt;3415000000&lt;/center-of-channel-bandwidth&gt;</v>
      </c>
    </row>
    <row r="128" spans="1:1" x14ac:dyDescent="0.25">
      <c r="A128" s="16" t="str">
        <f>"          &lt;channel-bandwidth&gt;"&amp;'Control-Sheet'!$O25*10^6&amp;"&lt;/channel-bandwidth&gt;"</f>
        <v xml:space="preserve">          &lt;channel-bandwidth&gt;10000000&lt;/channel-bandwidth&gt;</v>
      </c>
    </row>
    <row r="129" spans="1:1" x14ac:dyDescent="0.25">
      <c r="A129" s="5" t="s">
        <v>186</v>
      </c>
    </row>
    <row r="130" spans="1:1" x14ac:dyDescent="0.25">
      <c r="A130" s="16" t="str">
        <f>"          &lt;type&gt;"&amp;'Control-Sheet'!$P25&amp;"&lt;/type&gt;"</f>
        <v xml:space="preserve">          &lt;type&gt;NR&lt;/type&gt;</v>
      </c>
    </row>
    <row r="131" spans="1:1" x14ac:dyDescent="0.25">
      <c r="A131" s="5" t="s">
        <v>187</v>
      </c>
    </row>
    <row r="132" spans="1:1" x14ac:dyDescent="0.25">
      <c r="A132" s="5" t="s">
        <v>188</v>
      </c>
    </row>
    <row r="133" spans="1:1" x14ac:dyDescent="0.25">
      <c r="A133" s="16" t="str">
        <f>"          &lt;gain&gt;"&amp;'Control-Sheet'!$Q25&amp;"&lt;/gain&gt;"</f>
        <v xml:space="preserve">          &lt;gain&gt;7&lt;/gain&gt;</v>
      </c>
    </row>
    <row r="134" spans="1:1" x14ac:dyDescent="0.25">
      <c r="A134" s="16" t="str">
        <f>IF('Control-Sheet'!R25="", "", "          &lt;t-da-offset&gt;" &amp; 'Control-Sheet'!R25 &amp; "&lt;/t-da-offset&gt;")</f>
        <v/>
      </c>
    </row>
    <row r="135" spans="1:1" x14ac:dyDescent="0.25">
      <c r="A135" s="5" t="s">
        <v>189</v>
      </c>
    </row>
    <row r="136" spans="1:1" x14ac:dyDescent="0.25">
      <c r="A136" s="14" t="s">
        <v>190</v>
      </c>
    </row>
    <row r="137" spans="1:1" x14ac:dyDescent="0.25">
      <c r="A137" s="17" t="str">
        <f>"          &lt;name&gt;"&amp;'Control-Sheet'!$G25&amp;"&lt;/name&gt;"</f>
        <v xml:space="preserve">          &lt;name&gt;llte_0_0_0_2_0_0&lt;/name&gt;</v>
      </c>
    </row>
    <row r="138" spans="1:1" x14ac:dyDescent="0.25">
      <c r="A138" s="18" t="str">
        <f>"          &lt;processing-element&gt;"&amp;'Control-Sheet'!$H25&amp;"&lt;/processing-element&gt;"</f>
        <v xml:space="preserve">          &lt;processing-element&gt;ru-pe.0&lt;/processing-element&gt;</v>
      </c>
    </row>
    <row r="139" spans="1:1" x14ac:dyDescent="0.25">
      <c r="A139" s="18" t="str">
        <f>"          &lt;tx-array-carrier&gt;"&amp;'Control-Sheet'!$I25&amp;"&lt;/tx-array-carrier&gt;"</f>
        <v xml:space="preserve">          &lt;tx-array-carrier&gt;tac_0_0_0_2&lt;/tx-array-carrier&gt;</v>
      </c>
    </row>
    <row r="140" spans="1:1" x14ac:dyDescent="0.25">
      <c r="A140" s="18" t="str">
        <f>"          &lt;low-level-tx-endpoint&gt;"&amp;'Control-Sheet'!$J25&amp;"&lt;/low-level-tx-endpoint&gt;"</f>
        <v xml:space="preserve">          &lt;low-level-tx-endpoint&gt;llte_0_0_0_2_0_0&lt;/low-level-tx-endpoint&gt;</v>
      </c>
    </row>
    <row r="141" spans="1:1" x14ac:dyDescent="0.25">
      <c r="A141" s="14" t="s">
        <v>191</v>
      </c>
    </row>
    <row r="142" spans="1:1" x14ac:dyDescent="0.25">
      <c r="A142" t="str">
        <f>_xlfn.IFS('Control-Sheet'!$A$25="OFF", 'Control-Sheet'!$K$6, TRUE, "")</f>
        <v/>
      </c>
    </row>
    <row r="143" spans="1:1" x14ac:dyDescent="0.25">
      <c r="A143" t="str">
        <f>_xlfn.IFS('Control-Sheet'!$A$26="OFF", 'Control-Sheet'!$K$5, TRUE, "")</f>
        <v/>
      </c>
    </row>
    <row r="144" spans="1:1" x14ac:dyDescent="0.25">
      <c r="A144" s="6" t="s">
        <v>166</v>
      </c>
    </row>
    <row r="145" spans="1:1" x14ac:dyDescent="0.25">
      <c r="A145" s="7" t="str">
        <f>"          &lt;name&gt;"&amp;'Control-Sheet'!$C26&amp;"&lt;/name&gt;"</f>
        <v xml:space="preserve">          &lt;name&gt;llte_0_0_1_2_0_0&lt;/name&gt;</v>
      </c>
    </row>
    <row r="146" spans="1:1" x14ac:dyDescent="0.25">
      <c r="A146" s="6" t="s">
        <v>167</v>
      </c>
    </row>
    <row r="147" spans="1:1" x14ac:dyDescent="0.25">
      <c r="A147" s="6" t="s">
        <v>168</v>
      </c>
    </row>
    <row r="148" spans="1:1" x14ac:dyDescent="0.25">
      <c r="A148" s="7" t="str">
        <f>_xlfn.IFS('Control-Sheet'!M26="exponent", 'Control-Sheet'!$G$5, 'Control-Sheet'!M26="BFP", 'Control-Sheet'!$G$6, TRUE, "")</f>
        <v/>
      </c>
    </row>
    <row r="149" spans="1:1" x14ac:dyDescent="0.25">
      <c r="A149" s="7" t="str">
        <f>"          &lt;iq-bitwidth&gt;"&amp;'Control-Sheet'!L26&amp;"&lt;/iq-bitwidth&gt;"</f>
        <v xml:space="preserve">          &lt;iq-bitwidth&gt;16&lt;/iq-bitwidth&gt;</v>
      </c>
    </row>
    <row r="150" spans="1:1" x14ac:dyDescent="0.25">
      <c r="A150" s="6" t="s">
        <v>169</v>
      </c>
    </row>
    <row r="151" spans="1:1" x14ac:dyDescent="0.25">
      <c r="A151" s="6" t="s">
        <v>170</v>
      </c>
    </row>
    <row r="152" spans="1:1" x14ac:dyDescent="0.25">
      <c r="A152" s="6" t="s">
        <v>171</v>
      </c>
    </row>
    <row r="153" spans="1:1" x14ac:dyDescent="0.25">
      <c r="A153" s="6" t="s">
        <v>172</v>
      </c>
    </row>
    <row r="154" spans="1:1" x14ac:dyDescent="0.25">
      <c r="A154" s="6" t="s">
        <v>173</v>
      </c>
    </row>
    <row r="155" spans="1:1" x14ac:dyDescent="0.25">
      <c r="A155" s="9" t="s">
        <v>174</v>
      </c>
    </row>
    <row r="156" spans="1:1" x14ac:dyDescent="0.25">
      <c r="A156" s="6" t="s">
        <v>175</v>
      </c>
    </row>
    <row r="157" spans="1:1" x14ac:dyDescent="0.25">
      <c r="A157" s="7" t="str">
        <f>"            &lt;scs&gt;"&amp;'Control-Sheet'!$D26&amp;"&lt;/scs&gt;"</f>
        <v xml:space="preserve">            &lt;scs&gt;KHZ_15&lt;/scs&gt;</v>
      </c>
    </row>
    <row r="158" spans="1:1" x14ac:dyDescent="0.25">
      <c r="A158" s="8" t="str">
        <f>"            &lt;number-of-prb&gt;"&amp;'Control-Sheet'!$E26&amp;"&lt;/number-of-prb&gt;"</f>
        <v xml:space="preserve">            &lt;number-of-prb&gt;106&lt;/number-of-prb&gt;</v>
      </c>
    </row>
    <row r="159" spans="1:1" x14ac:dyDescent="0.25">
      <c r="A159" s="6" t="s">
        <v>176</v>
      </c>
    </row>
    <row r="160" spans="1:1" x14ac:dyDescent="0.25">
      <c r="A160" s="6" t="s">
        <v>177</v>
      </c>
    </row>
    <row r="161" spans="1:1" x14ac:dyDescent="0.25">
      <c r="A161" s="6" t="s">
        <v>178</v>
      </c>
    </row>
    <row r="162" spans="1:1" x14ac:dyDescent="0.25">
      <c r="A162" s="6" t="s">
        <v>179</v>
      </c>
    </row>
    <row r="163" spans="1:1" x14ac:dyDescent="0.25">
      <c r="A163" s="6" t="s">
        <v>180</v>
      </c>
    </row>
    <row r="164" spans="1:1" x14ac:dyDescent="0.25">
      <c r="A164" s="6" t="s">
        <v>181</v>
      </c>
    </row>
    <row r="165" spans="1:1" x14ac:dyDescent="0.25">
      <c r="A165" s="7" t="str">
        <f>"            &lt;eaxc-id&gt;"&amp;'Control-Sheet'!$F26&amp;"&lt;/eaxc-id&gt;"</f>
        <v xml:space="preserve">            &lt;eaxc-id&gt;5&lt;/eaxc-id&gt;</v>
      </c>
    </row>
    <row r="166" spans="1:1" x14ac:dyDescent="0.25">
      <c r="A166" s="6" t="s">
        <v>182</v>
      </c>
    </row>
    <row r="167" spans="1:1" x14ac:dyDescent="0.25">
      <c r="A167" s="6" t="s">
        <v>183</v>
      </c>
    </row>
    <row r="168" spans="1:1" x14ac:dyDescent="0.25">
      <c r="A168" s="5" t="s">
        <v>184</v>
      </c>
    </row>
    <row r="169" spans="1:1" x14ac:dyDescent="0.25">
      <c r="A169" s="15" t="str">
        <f>"          &lt;name&gt;"&amp;'Control-Sheet'!$K26&amp;"&lt;/name&gt;"</f>
        <v xml:space="preserve">          &lt;name&gt;tac_0_0_1_2&lt;/name&gt;</v>
      </c>
    </row>
    <row r="170" spans="1:1" x14ac:dyDescent="0.25">
      <c r="A170" s="5" t="s">
        <v>185</v>
      </c>
    </row>
    <row r="171" spans="1:1" x14ac:dyDescent="0.25">
      <c r="A171" s="16" t="str">
        <f>"          &lt;center-of-channel-bandwidth&gt;"&amp;'Control-Sheet'!$N26*10^6&amp;"&lt;/center-of-channel-bandwidth&gt;"</f>
        <v xml:space="preserve">          &lt;center-of-channel-bandwidth&gt;3445000000&lt;/center-of-channel-bandwidth&gt;</v>
      </c>
    </row>
    <row r="172" spans="1:1" x14ac:dyDescent="0.25">
      <c r="A172" s="16" t="str">
        <f>"          &lt;channel-bandwidth&gt;"&amp;'Control-Sheet'!$O26*10^6&amp;"&lt;/channel-bandwidth&gt;"</f>
        <v xml:space="preserve">          &lt;channel-bandwidth&gt;10000000&lt;/channel-bandwidth&gt;</v>
      </c>
    </row>
    <row r="173" spans="1:1" x14ac:dyDescent="0.25">
      <c r="A173" s="5" t="s">
        <v>186</v>
      </c>
    </row>
    <row r="174" spans="1:1" x14ac:dyDescent="0.25">
      <c r="A174" s="16" t="str">
        <f>"          &lt;type&gt;"&amp;'Control-Sheet'!$P26&amp;"&lt;/type&gt;"</f>
        <v xml:space="preserve">          &lt;type&gt;NR&lt;/type&gt;</v>
      </c>
    </row>
    <row r="175" spans="1:1" x14ac:dyDescent="0.25">
      <c r="A175" s="5" t="s">
        <v>187</v>
      </c>
    </row>
    <row r="176" spans="1:1" x14ac:dyDescent="0.25">
      <c r="A176" s="5" t="s">
        <v>188</v>
      </c>
    </row>
    <row r="177" spans="1:1" x14ac:dyDescent="0.25">
      <c r="A177" s="16" t="str">
        <f>"          &lt;gain&gt;"&amp;'Control-Sheet'!$Q26&amp;"&lt;/gain&gt;"</f>
        <v xml:space="preserve">          &lt;gain&gt;7&lt;/gain&gt;</v>
      </c>
    </row>
    <row r="178" spans="1:1" x14ac:dyDescent="0.25">
      <c r="A178" s="16" t="str">
        <f>IF('Control-Sheet'!R26="", "", "          &lt;t-da-offset&gt;" &amp; 'Control-Sheet'!R26 &amp; "&lt;/t-da-offset&gt;")</f>
        <v/>
      </c>
    </row>
    <row r="179" spans="1:1" x14ac:dyDescent="0.25">
      <c r="A179" s="5" t="s">
        <v>189</v>
      </c>
    </row>
    <row r="180" spans="1:1" x14ac:dyDescent="0.25">
      <c r="A180" s="14" t="s">
        <v>190</v>
      </c>
    </row>
    <row r="181" spans="1:1" x14ac:dyDescent="0.25">
      <c r="A181" s="17" t="str">
        <f>"          &lt;name&gt;"&amp;'Control-Sheet'!$G26&amp;"&lt;/name&gt;"</f>
        <v xml:space="preserve">          &lt;name&gt;llte_0_0_1_2_0_0&lt;/name&gt;</v>
      </c>
    </row>
    <row r="182" spans="1:1" x14ac:dyDescent="0.25">
      <c r="A182" s="18" t="str">
        <f>"          &lt;processing-element&gt;"&amp;'Control-Sheet'!$H26&amp;"&lt;/processing-element&gt;"</f>
        <v xml:space="preserve">          &lt;processing-element&gt;ru-pe.0&lt;/processing-element&gt;</v>
      </c>
    </row>
    <row r="183" spans="1:1" x14ac:dyDescent="0.25">
      <c r="A183" s="18" t="str">
        <f>"          &lt;tx-array-carrier&gt;"&amp;'Control-Sheet'!$I26&amp;"&lt;/tx-array-carrier&gt;"</f>
        <v xml:space="preserve">          &lt;tx-array-carrier&gt;tac_0_0_1_2&lt;/tx-array-carrier&gt;</v>
      </c>
    </row>
    <row r="184" spans="1:1" x14ac:dyDescent="0.25">
      <c r="A184" s="18" t="str">
        <f>"          &lt;low-level-tx-endpoint&gt;"&amp;'Control-Sheet'!$J26&amp;"&lt;/low-level-tx-endpoint&gt;"</f>
        <v xml:space="preserve">          &lt;low-level-tx-endpoint&gt;llte_0_0_1_2_0_0&lt;/low-level-tx-endpoint&gt;</v>
      </c>
    </row>
    <row r="185" spans="1:1" x14ac:dyDescent="0.25">
      <c r="A185" s="14" t="s">
        <v>191</v>
      </c>
    </row>
    <row r="186" spans="1:1" x14ac:dyDescent="0.25">
      <c r="A186" t="str">
        <f>_xlfn.IFS('Control-Sheet'!$A$26="OFF", 'Control-Sheet'!$K$6, TRUE, "")</f>
        <v/>
      </c>
    </row>
    <row r="187" spans="1:1" x14ac:dyDescent="0.25">
      <c r="A187" t="str">
        <f>_xlfn.IFS('Control-Sheet'!$A$27="OFF", 'Control-Sheet'!$K$5, TRUE, "")</f>
        <v/>
      </c>
    </row>
    <row r="188" spans="1:1" x14ac:dyDescent="0.25">
      <c r="A188" s="6" t="s">
        <v>166</v>
      </c>
    </row>
    <row r="189" spans="1:1" x14ac:dyDescent="0.25">
      <c r="A189" s="7" t="str">
        <f>"          &lt;name&gt;"&amp;'Control-Sheet'!$C27&amp;"&lt;/name&gt;"</f>
        <v xml:space="preserve">          &lt;name&gt;llte_0_0_0_3_0_0&lt;/name&gt;</v>
      </c>
    </row>
    <row r="190" spans="1:1" x14ac:dyDescent="0.25">
      <c r="A190" s="6" t="s">
        <v>167</v>
      </c>
    </row>
    <row r="191" spans="1:1" x14ac:dyDescent="0.25">
      <c r="A191" s="6" t="s">
        <v>168</v>
      </c>
    </row>
    <row r="192" spans="1:1" x14ac:dyDescent="0.25">
      <c r="A192" s="7" t="str">
        <f>_xlfn.IFS('Control-Sheet'!M27="exponent", 'Control-Sheet'!$G$5, 'Control-Sheet'!M27="BFP", 'Control-Sheet'!$G$6, TRUE, "")</f>
        <v/>
      </c>
    </row>
    <row r="193" spans="1:1" x14ac:dyDescent="0.25">
      <c r="A193" s="7" t="str">
        <f>"          &lt;iq-bitwidth&gt;"&amp;'Control-Sheet'!L27&amp;"&lt;/iq-bitwidth&gt;"</f>
        <v xml:space="preserve">          &lt;iq-bitwidth&gt;16&lt;/iq-bitwidth&gt;</v>
      </c>
    </row>
    <row r="194" spans="1:1" x14ac:dyDescent="0.25">
      <c r="A194" s="6" t="s">
        <v>169</v>
      </c>
    </row>
    <row r="195" spans="1:1" x14ac:dyDescent="0.25">
      <c r="A195" s="6" t="s">
        <v>170</v>
      </c>
    </row>
    <row r="196" spans="1:1" x14ac:dyDescent="0.25">
      <c r="A196" s="6" t="s">
        <v>171</v>
      </c>
    </row>
    <row r="197" spans="1:1" x14ac:dyDescent="0.25">
      <c r="A197" s="6" t="s">
        <v>172</v>
      </c>
    </row>
    <row r="198" spans="1:1" x14ac:dyDescent="0.25">
      <c r="A198" s="6" t="s">
        <v>173</v>
      </c>
    </row>
    <row r="199" spans="1:1" x14ac:dyDescent="0.25">
      <c r="A199" s="9" t="s">
        <v>174</v>
      </c>
    </row>
    <row r="200" spans="1:1" x14ac:dyDescent="0.25">
      <c r="A200" s="6" t="s">
        <v>175</v>
      </c>
    </row>
    <row r="201" spans="1:1" x14ac:dyDescent="0.25">
      <c r="A201" s="7" t="str">
        <f>"            &lt;scs&gt;"&amp;'Control-Sheet'!$D27&amp;"&lt;/scs&gt;"</f>
        <v xml:space="preserve">            &lt;scs&gt;KHZ_15&lt;/scs&gt;</v>
      </c>
    </row>
    <row r="202" spans="1:1" x14ac:dyDescent="0.25">
      <c r="A202" s="8" t="str">
        <f>"            &lt;number-of-prb&gt;"&amp;'Control-Sheet'!$E27&amp;"&lt;/number-of-prb&gt;"</f>
        <v xml:space="preserve">            &lt;number-of-prb&gt;106&lt;/number-of-prb&gt;</v>
      </c>
    </row>
    <row r="203" spans="1:1" x14ac:dyDescent="0.25">
      <c r="A203" s="6" t="s">
        <v>176</v>
      </c>
    </row>
    <row r="204" spans="1:1" x14ac:dyDescent="0.25">
      <c r="A204" s="6" t="s">
        <v>177</v>
      </c>
    </row>
    <row r="205" spans="1:1" x14ac:dyDescent="0.25">
      <c r="A205" s="6" t="s">
        <v>178</v>
      </c>
    </row>
    <row r="206" spans="1:1" x14ac:dyDescent="0.25">
      <c r="A206" s="6" t="s">
        <v>179</v>
      </c>
    </row>
    <row r="207" spans="1:1" x14ac:dyDescent="0.25">
      <c r="A207" s="6" t="s">
        <v>180</v>
      </c>
    </row>
    <row r="208" spans="1:1" x14ac:dyDescent="0.25">
      <c r="A208" s="6" t="s">
        <v>181</v>
      </c>
    </row>
    <row r="209" spans="1:1" x14ac:dyDescent="0.25">
      <c r="A209" s="7" t="str">
        <f>"            &lt;eaxc-id&gt;"&amp;'Control-Sheet'!$F27&amp;"&lt;/eaxc-id&gt;"</f>
        <v xml:space="preserve">            &lt;eaxc-id&gt;6&lt;/eaxc-id&gt;</v>
      </c>
    </row>
    <row r="210" spans="1:1" x14ac:dyDescent="0.25">
      <c r="A210" s="6" t="s">
        <v>182</v>
      </c>
    </row>
    <row r="211" spans="1:1" x14ac:dyDescent="0.25">
      <c r="A211" s="6" t="s">
        <v>183</v>
      </c>
    </row>
    <row r="212" spans="1:1" x14ac:dyDescent="0.25">
      <c r="A212" s="5" t="s">
        <v>184</v>
      </c>
    </row>
    <row r="213" spans="1:1" x14ac:dyDescent="0.25">
      <c r="A213" s="15" t="str">
        <f>"          &lt;name&gt;"&amp;'Control-Sheet'!$K27&amp;"&lt;/name&gt;"</f>
        <v xml:space="preserve">          &lt;name&gt;tac_0_0_0_3&lt;/name&gt;</v>
      </c>
    </row>
    <row r="214" spans="1:1" x14ac:dyDescent="0.25">
      <c r="A214" s="5" t="s">
        <v>185</v>
      </c>
    </row>
    <row r="215" spans="1:1" x14ac:dyDescent="0.25">
      <c r="A215" s="16" t="str">
        <f>"          &lt;center-of-channel-bandwidth&gt;"&amp;'Control-Sheet'!$N27*10^6&amp;"&lt;/center-of-channel-bandwidth&gt;"</f>
        <v xml:space="preserve">          &lt;center-of-channel-bandwidth&gt;3415000000&lt;/center-of-channel-bandwidth&gt;</v>
      </c>
    </row>
    <row r="216" spans="1:1" x14ac:dyDescent="0.25">
      <c r="A216" s="16" t="str">
        <f>"          &lt;channel-bandwidth&gt;"&amp;'Control-Sheet'!$O27*10^6&amp;"&lt;/channel-bandwidth&gt;"</f>
        <v xml:space="preserve">          &lt;channel-bandwidth&gt;10000000&lt;/channel-bandwidth&gt;</v>
      </c>
    </row>
    <row r="217" spans="1:1" x14ac:dyDescent="0.25">
      <c r="A217" s="5" t="s">
        <v>186</v>
      </c>
    </row>
    <row r="218" spans="1:1" x14ac:dyDescent="0.25">
      <c r="A218" s="16" t="str">
        <f>"          &lt;type&gt;"&amp;'Control-Sheet'!$P27&amp;"&lt;/type&gt;"</f>
        <v xml:space="preserve">          &lt;type&gt;NR&lt;/type&gt;</v>
      </c>
    </row>
    <row r="219" spans="1:1" x14ac:dyDescent="0.25">
      <c r="A219" s="5" t="s">
        <v>187</v>
      </c>
    </row>
    <row r="220" spans="1:1" x14ac:dyDescent="0.25">
      <c r="A220" s="5" t="s">
        <v>188</v>
      </c>
    </row>
    <row r="221" spans="1:1" x14ac:dyDescent="0.25">
      <c r="A221" s="16" t="str">
        <f>"          &lt;gain&gt;"&amp;'Control-Sheet'!$Q27&amp;"&lt;/gain&gt;"</f>
        <v xml:space="preserve">          &lt;gain&gt;7&lt;/gain&gt;</v>
      </c>
    </row>
    <row r="222" spans="1:1" x14ac:dyDescent="0.25">
      <c r="A222" s="16" t="str">
        <f>IF('Control-Sheet'!R27="", "", "          &lt;t-da-offset&gt;" &amp; 'Control-Sheet'!R27 &amp; "&lt;/t-da-offset&gt;")</f>
        <v/>
      </c>
    </row>
    <row r="223" spans="1:1" x14ac:dyDescent="0.25">
      <c r="A223" s="5" t="s">
        <v>189</v>
      </c>
    </row>
    <row r="224" spans="1:1" x14ac:dyDescent="0.25">
      <c r="A224" s="14" t="s">
        <v>190</v>
      </c>
    </row>
    <row r="225" spans="1:1" x14ac:dyDescent="0.25">
      <c r="A225" s="17" t="str">
        <f>"          &lt;name&gt;"&amp;'Control-Sheet'!$G27&amp;"&lt;/name&gt;"</f>
        <v xml:space="preserve">          &lt;name&gt;llte_0_0_0_3_0_0&lt;/name&gt;</v>
      </c>
    </row>
    <row r="226" spans="1:1" x14ac:dyDescent="0.25">
      <c r="A226" s="18" t="str">
        <f>"          &lt;processing-element&gt;"&amp;'Control-Sheet'!$H27&amp;"&lt;/processing-element&gt;"</f>
        <v xml:space="preserve">          &lt;processing-element&gt;ru-pe.0&lt;/processing-element&gt;</v>
      </c>
    </row>
    <row r="227" spans="1:1" x14ac:dyDescent="0.25">
      <c r="A227" s="18" t="str">
        <f>"          &lt;tx-array-carrier&gt;"&amp;'Control-Sheet'!$I27&amp;"&lt;/tx-array-carrier&gt;"</f>
        <v xml:space="preserve">          &lt;tx-array-carrier&gt;tac_0_0_0_3&lt;/tx-array-carrier&gt;</v>
      </c>
    </row>
    <row r="228" spans="1:1" x14ac:dyDescent="0.25">
      <c r="A228" s="18" t="str">
        <f>"          &lt;low-level-tx-endpoint&gt;"&amp;'Control-Sheet'!$J27&amp;"&lt;/low-level-tx-endpoint&gt;"</f>
        <v xml:space="preserve">          &lt;low-level-tx-endpoint&gt;llte_0_0_0_3_0_0&lt;/low-level-tx-endpoint&gt;</v>
      </c>
    </row>
    <row r="229" spans="1:1" x14ac:dyDescent="0.25">
      <c r="A229" s="14" t="s">
        <v>191</v>
      </c>
    </row>
    <row r="230" spans="1:1" x14ac:dyDescent="0.25">
      <c r="A230" t="str">
        <f>_xlfn.IFS('Control-Sheet'!$A$27="OFF", 'Control-Sheet'!$K$6, TRUE, "")</f>
        <v/>
      </c>
    </row>
    <row r="231" spans="1:1" x14ac:dyDescent="0.25">
      <c r="A231" t="str">
        <f>_xlfn.IFS('Control-Sheet'!$A$28="OFF", 'Control-Sheet'!$K$5, TRUE, "")</f>
        <v/>
      </c>
    </row>
    <row r="232" spans="1:1" x14ac:dyDescent="0.25">
      <c r="A232" s="6" t="s">
        <v>166</v>
      </c>
    </row>
    <row r="233" spans="1:1" x14ac:dyDescent="0.25">
      <c r="A233" s="7" t="str">
        <f>"          &lt;name&gt;"&amp;'Control-Sheet'!$C28&amp;"&lt;/name&gt;"</f>
        <v xml:space="preserve">          &lt;name&gt;llte_0_0_1_3_0_0&lt;/name&gt;</v>
      </c>
    </row>
    <row r="234" spans="1:1" x14ac:dyDescent="0.25">
      <c r="A234" s="6" t="s">
        <v>167</v>
      </c>
    </row>
    <row r="235" spans="1:1" x14ac:dyDescent="0.25">
      <c r="A235" s="6" t="s">
        <v>168</v>
      </c>
    </row>
    <row r="236" spans="1:1" x14ac:dyDescent="0.25">
      <c r="A236" s="7" t="str">
        <f>_xlfn.IFS('Control-Sheet'!M28="exponent", 'Control-Sheet'!$G$5, 'Control-Sheet'!M28="BFP", 'Control-Sheet'!$G$6, TRUE, "")</f>
        <v/>
      </c>
    </row>
    <row r="237" spans="1:1" x14ac:dyDescent="0.25">
      <c r="A237" s="7" t="str">
        <f>"          &lt;iq-bitwidth&gt;"&amp;'Control-Sheet'!L28&amp;"&lt;/iq-bitwidth&gt;"</f>
        <v xml:space="preserve">          &lt;iq-bitwidth&gt;16&lt;/iq-bitwidth&gt;</v>
      </c>
    </row>
    <row r="238" spans="1:1" x14ac:dyDescent="0.25">
      <c r="A238" s="6" t="s">
        <v>169</v>
      </c>
    </row>
    <row r="239" spans="1:1" x14ac:dyDescent="0.25">
      <c r="A239" s="6" t="s">
        <v>170</v>
      </c>
    </row>
    <row r="240" spans="1:1" x14ac:dyDescent="0.25">
      <c r="A240" s="6" t="s">
        <v>171</v>
      </c>
    </row>
    <row r="241" spans="1:1" x14ac:dyDescent="0.25">
      <c r="A241" s="6" t="s">
        <v>172</v>
      </c>
    </row>
    <row r="242" spans="1:1" x14ac:dyDescent="0.25">
      <c r="A242" s="6" t="s">
        <v>173</v>
      </c>
    </row>
    <row r="243" spans="1:1" x14ac:dyDescent="0.25">
      <c r="A243" s="9" t="s">
        <v>174</v>
      </c>
    </row>
    <row r="244" spans="1:1" x14ac:dyDescent="0.25">
      <c r="A244" s="6" t="s">
        <v>175</v>
      </c>
    </row>
    <row r="245" spans="1:1" x14ac:dyDescent="0.25">
      <c r="A245" s="7" t="str">
        <f>"            &lt;scs&gt;"&amp;'Control-Sheet'!$D28&amp;"&lt;/scs&gt;"</f>
        <v xml:space="preserve">            &lt;scs&gt;KHZ_15&lt;/scs&gt;</v>
      </c>
    </row>
    <row r="246" spans="1:1" x14ac:dyDescent="0.25">
      <c r="A246" s="8" t="str">
        <f>"            &lt;number-of-prb&gt;"&amp;'Control-Sheet'!$E28&amp;"&lt;/number-of-prb&gt;"</f>
        <v xml:space="preserve">            &lt;number-of-prb&gt;106&lt;/number-of-prb&gt;</v>
      </c>
    </row>
    <row r="247" spans="1:1" x14ac:dyDescent="0.25">
      <c r="A247" s="6" t="s">
        <v>176</v>
      </c>
    </row>
    <row r="248" spans="1:1" x14ac:dyDescent="0.25">
      <c r="A248" s="6" t="s">
        <v>177</v>
      </c>
    </row>
    <row r="249" spans="1:1" x14ac:dyDescent="0.25">
      <c r="A249" s="6" t="s">
        <v>178</v>
      </c>
    </row>
    <row r="250" spans="1:1" x14ac:dyDescent="0.25">
      <c r="A250" s="6" t="s">
        <v>179</v>
      </c>
    </row>
    <row r="251" spans="1:1" x14ac:dyDescent="0.25">
      <c r="A251" s="6" t="s">
        <v>180</v>
      </c>
    </row>
    <row r="252" spans="1:1" x14ac:dyDescent="0.25">
      <c r="A252" s="6" t="s">
        <v>181</v>
      </c>
    </row>
    <row r="253" spans="1:1" x14ac:dyDescent="0.25">
      <c r="A253" s="7" t="str">
        <f>"            &lt;eaxc-id&gt;"&amp;'Control-Sheet'!$F28&amp;"&lt;/eaxc-id&gt;"</f>
        <v xml:space="preserve">            &lt;eaxc-id&gt;7&lt;/eaxc-id&gt;</v>
      </c>
    </row>
    <row r="254" spans="1:1" x14ac:dyDescent="0.25">
      <c r="A254" s="6" t="s">
        <v>182</v>
      </c>
    </row>
    <row r="255" spans="1:1" x14ac:dyDescent="0.25">
      <c r="A255" s="6" t="s">
        <v>183</v>
      </c>
    </row>
    <row r="256" spans="1:1" x14ac:dyDescent="0.25">
      <c r="A256" s="5" t="s">
        <v>184</v>
      </c>
    </row>
    <row r="257" spans="1:1" x14ac:dyDescent="0.25">
      <c r="A257" s="15" t="str">
        <f>"          &lt;name&gt;"&amp;'Control-Sheet'!$K28&amp;"&lt;/name&gt;"</f>
        <v xml:space="preserve">          &lt;name&gt;tac_0_0_1_3&lt;/name&gt;</v>
      </c>
    </row>
    <row r="258" spans="1:1" x14ac:dyDescent="0.25">
      <c r="A258" s="5" t="s">
        <v>185</v>
      </c>
    </row>
    <row r="259" spans="1:1" x14ac:dyDescent="0.25">
      <c r="A259" s="16" t="str">
        <f>"          &lt;center-of-channel-bandwidth&gt;"&amp;'Control-Sheet'!$N28*10^6&amp;"&lt;/center-of-channel-bandwidth&gt;"</f>
        <v xml:space="preserve">          &lt;center-of-channel-bandwidth&gt;3445000000&lt;/center-of-channel-bandwidth&gt;</v>
      </c>
    </row>
    <row r="260" spans="1:1" x14ac:dyDescent="0.25">
      <c r="A260" s="16" t="str">
        <f>"          &lt;channel-bandwidth&gt;"&amp;'Control-Sheet'!$O28*10^6&amp;"&lt;/channel-bandwidth&gt;"</f>
        <v xml:space="preserve">          &lt;channel-bandwidth&gt;10000000&lt;/channel-bandwidth&gt;</v>
      </c>
    </row>
    <row r="261" spans="1:1" x14ac:dyDescent="0.25">
      <c r="A261" s="5" t="s">
        <v>186</v>
      </c>
    </row>
    <row r="262" spans="1:1" x14ac:dyDescent="0.25">
      <c r="A262" s="16" t="str">
        <f>"          &lt;type&gt;"&amp;'Control-Sheet'!$P28&amp;"&lt;/type&gt;"</f>
        <v xml:space="preserve">          &lt;type&gt;NR&lt;/type&gt;</v>
      </c>
    </row>
    <row r="263" spans="1:1" x14ac:dyDescent="0.25">
      <c r="A263" s="5" t="s">
        <v>187</v>
      </c>
    </row>
    <row r="264" spans="1:1" x14ac:dyDescent="0.25">
      <c r="A264" s="5" t="s">
        <v>188</v>
      </c>
    </row>
    <row r="265" spans="1:1" x14ac:dyDescent="0.25">
      <c r="A265" s="16" t="str">
        <f>"          &lt;gain&gt;"&amp;'Control-Sheet'!$Q28&amp;"&lt;/gain&gt;"</f>
        <v xml:space="preserve">          &lt;gain&gt;7&lt;/gain&gt;</v>
      </c>
    </row>
    <row r="266" spans="1:1" x14ac:dyDescent="0.25">
      <c r="A266" s="16" t="str">
        <f>IF('Control-Sheet'!R28="", "", "          &lt;t-da-offset&gt;" &amp; 'Control-Sheet'!R28 &amp; "&lt;/t-da-offset&gt;")</f>
        <v/>
      </c>
    </row>
    <row r="267" spans="1:1" x14ac:dyDescent="0.25">
      <c r="A267" s="5" t="s">
        <v>189</v>
      </c>
    </row>
    <row r="268" spans="1:1" x14ac:dyDescent="0.25">
      <c r="A268" s="14" t="s">
        <v>190</v>
      </c>
    </row>
    <row r="269" spans="1:1" x14ac:dyDescent="0.25">
      <c r="A269" s="17" t="str">
        <f>"          &lt;name&gt;"&amp;'Control-Sheet'!$G28&amp;"&lt;/name&gt;"</f>
        <v xml:space="preserve">          &lt;name&gt;llte_0_0_1_3_0_0&lt;/name&gt;</v>
      </c>
    </row>
    <row r="270" spans="1:1" x14ac:dyDescent="0.25">
      <c r="A270" s="18" t="str">
        <f>"          &lt;processing-element&gt;"&amp;'Control-Sheet'!$H28&amp;"&lt;/processing-element&gt;"</f>
        <v xml:space="preserve">          &lt;processing-element&gt;ru-pe.0&lt;/processing-element&gt;</v>
      </c>
    </row>
    <row r="271" spans="1:1" x14ac:dyDescent="0.25">
      <c r="A271" s="18" t="str">
        <f>"          &lt;tx-array-carrier&gt;"&amp;'Control-Sheet'!$I28&amp;"&lt;/tx-array-carrier&gt;"</f>
        <v xml:space="preserve">          &lt;tx-array-carrier&gt;tac_0_0_1_3&lt;/tx-array-carrier&gt;</v>
      </c>
    </row>
    <row r="272" spans="1:1" x14ac:dyDescent="0.25">
      <c r="A272" s="18" t="str">
        <f>"          &lt;low-level-tx-endpoint&gt;"&amp;'Control-Sheet'!$J28&amp;"&lt;/low-level-tx-endpoint&gt;"</f>
        <v xml:space="preserve">          &lt;low-level-tx-endpoint&gt;llte_0_0_1_3_0_0&lt;/low-level-tx-endpoint&gt;</v>
      </c>
    </row>
    <row r="273" spans="1:1" x14ac:dyDescent="0.25">
      <c r="A273" s="14" t="s">
        <v>191</v>
      </c>
    </row>
    <row r="274" spans="1:1" x14ac:dyDescent="0.25">
      <c r="A274" t="str">
        <f>_xlfn.IFS('Control-Sheet'!$A$28="OFF", 'Control-Sheet'!$K$6, TRUE, "")</f>
        <v/>
      </c>
    </row>
    <row r="275" spans="1:1" x14ac:dyDescent="0.25">
      <c r="A275" t="str">
        <f>_xlfn.IFS('Control-Sheet'!$A$29="OFF", 'Control-Sheet'!$K$5, TRUE, "")</f>
        <v/>
      </c>
    </row>
    <row r="276" spans="1:1" x14ac:dyDescent="0.25">
      <c r="A276" s="6" t="s">
        <v>166</v>
      </c>
    </row>
    <row r="277" spans="1:1" x14ac:dyDescent="0.25">
      <c r="A277" s="7" t="str">
        <f>"          &lt;name&gt;"&amp;'Control-Sheet'!$C29&amp;"&lt;/name&gt;"</f>
        <v xml:space="preserve">          &lt;name&gt;llte_0_0_0_4_0_0&lt;/name&gt;</v>
      </c>
    </row>
    <row r="278" spans="1:1" x14ac:dyDescent="0.25">
      <c r="A278" s="6" t="s">
        <v>167</v>
      </c>
    </row>
    <row r="279" spans="1:1" x14ac:dyDescent="0.25">
      <c r="A279" s="6" t="s">
        <v>168</v>
      </c>
    </row>
    <row r="280" spans="1:1" x14ac:dyDescent="0.25">
      <c r="A280" s="7" t="str">
        <f>_xlfn.IFS('Control-Sheet'!M29="exponent", 'Control-Sheet'!$G$5, 'Control-Sheet'!M29="BFP", 'Control-Sheet'!$G$6, TRUE, "")</f>
        <v/>
      </c>
    </row>
    <row r="281" spans="1:1" x14ac:dyDescent="0.25">
      <c r="A281" s="7" t="str">
        <f>"          &lt;iq-bitwidth&gt;"&amp;'Control-Sheet'!L29&amp;"&lt;/iq-bitwidth&gt;"</f>
        <v xml:space="preserve">          &lt;iq-bitwidth&gt;16&lt;/iq-bitwidth&gt;</v>
      </c>
    </row>
    <row r="282" spans="1:1" x14ac:dyDescent="0.25">
      <c r="A282" s="6" t="s">
        <v>169</v>
      </c>
    </row>
    <row r="283" spans="1:1" x14ac:dyDescent="0.25">
      <c r="A283" s="6" t="s">
        <v>170</v>
      </c>
    </row>
    <row r="284" spans="1:1" x14ac:dyDescent="0.25">
      <c r="A284" s="6" t="s">
        <v>171</v>
      </c>
    </row>
    <row r="285" spans="1:1" x14ac:dyDescent="0.25">
      <c r="A285" s="6" t="s">
        <v>172</v>
      </c>
    </row>
    <row r="286" spans="1:1" x14ac:dyDescent="0.25">
      <c r="A286" s="6" t="s">
        <v>173</v>
      </c>
    </row>
    <row r="287" spans="1:1" x14ac:dyDescent="0.25">
      <c r="A287" s="9" t="s">
        <v>174</v>
      </c>
    </row>
    <row r="288" spans="1:1" x14ac:dyDescent="0.25">
      <c r="A288" s="6" t="s">
        <v>175</v>
      </c>
    </row>
    <row r="289" spans="1:1" x14ac:dyDescent="0.25">
      <c r="A289" s="7" t="str">
        <f>"            &lt;scs&gt;"&amp;'Control-Sheet'!$D29&amp;"&lt;/scs&gt;"</f>
        <v xml:space="preserve">            &lt;scs&gt;KHZ_15&lt;/scs&gt;</v>
      </c>
    </row>
    <row r="290" spans="1:1" x14ac:dyDescent="0.25">
      <c r="A290" s="8" t="str">
        <f>"            &lt;number-of-prb&gt;"&amp;'Control-Sheet'!$E29&amp;"&lt;/number-of-prb&gt;"</f>
        <v xml:space="preserve">            &lt;number-of-prb&gt;106&lt;/number-of-prb&gt;</v>
      </c>
    </row>
    <row r="291" spans="1:1" x14ac:dyDescent="0.25">
      <c r="A291" s="6" t="s">
        <v>176</v>
      </c>
    </row>
    <row r="292" spans="1:1" x14ac:dyDescent="0.25">
      <c r="A292" s="6" t="s">
        <v>177</v>
      </c>
    </row>
    <row r="293" spans="1:1" x14ac:dyDescent="0.25">
      <c r="A293" s="6" t="s">
        <v>178</v>
      </c>
    </row>
    <row r="294" spans="1:1" x14ac:dyDescent="0.25">
      <c r="A294" s="6" t="s">
        <v>179</v>
      </c>
    </row>
    <row r="295" spans="1:1" x14ac:dyDescent="0.25">
      <c r="A295" s="6" t="s">
        <v>180</v>
      </c>
    </row>
    <row r="296" spans="1:1" x14ac:dyDescent="0.25">
      <c r="A296" s="6" t="s">
        <v>181</v>
      </c>
    </row>
    <row r="297" spans="1:1" x14ac:dyDescent="0.25">
      <c r="A297" s="7" t="str">
        <f>"            &lt;eaxc-id&gt;"&amp;'Control-Sheet'!$F29&amp;"&lt;/eaxc-id&gt;"</f>
        <v xml:space="preserve">            &lt;eaxc-id&gt;8&lt;/eaxc-id&gt;</v>
      </c>
    </row>
    <row r="298" spans="1:1" x14ac:dyDescent="0.25">
      <c r="A298" s="6" t="s">
        <v>182</v>
      </c>
    </row>
    <row r="299" spans="1:1" x14ac:dyDescent="0.25">
      <c r="A299" s="6" t="s">
        <v>183</v>
      </c>
    </row>
    <row r="300" spans="1:1" x14ac:dyDescent="0.25">
      <c r="A300" s="5" t="s">
        <v>184</v>
      </c>
    </row>
    <row r="301" spans="1:1" x14ac:dyDescent="0.25">
      <c r="A301" s="15" t="str">
        <f>"          &lt;name&gt;"&amp;'Control-Sheet'!$K29&amp;"&lt;/name&gt;"</f>
        <v xml:space="preserve">          &lt;name&gt;tac_0_0_0_4&lt;/name&gt;</v>
      </c>
    </row>
    <row r="302" spans="1:1" x14ac:dyDescent="0.25">
      <c r="A302" s="5" t="s">
        <v>185</v>
      </c>
    </row>
    <row r="303" spans="1:1" x14ac:dyDescent="0.25">
      <c r="A303" s="16" t="str">
        <f>"          &lt;center-of-channel-bandwidth&gt;"&amp;'Control-Sheet'!$N29*10^6&amp;"&lt;/center-of-channel-bandwidth&gt;"</f>
        <v xml:space="preserve">          &lt;center-of-channel-bandwidth&gt;3415000000&lt;/center-of-channel-bandwidth&gt;</v>
      </c>
    </row>
    <row r="304" spans="1:1" x14ac:dyDescent="0.25">
      <c r="A304" s="16" t="str">
        <f>"          &lt;channel-bandwidth&gt;"&amp;'Control-Sheet'!$O29*10^6&amp;"&lt;/channel-bandwidth&gt;"</f>
        <v xml:space="preserve">          &lt;channel-bandwidth&gt;10000000&lt;/channel-bandwidth&gt;</v>
      </c>
    </row>
    <row r="305" spans="1:1" x14ac:dyDescent="0.25">
      <c r="A305" s="5" t="s">
        <v>186</v>
      </c>
    </row>
    <row r="306" spans="1:1" x14ac:dyDescent="0.25">
      <c r="A306" s="16" t="str">
        <f>"          &lt;type&gt;"&amp;'Control-Sheet'!$P29&amp;"&lt;/type&gt;"</f>
        <v xml:space="preserve">          &lt;type&gt;NR&lt;/type&gt;</v>
      </c>
    </row>
    <row r="307" spans="1:1" x14ac:dyDescent="0.25">
      <c r="A307" s="5" t="s">
        <v>187</v>
      </c>
    </row>
    <row r="308" spans="1:1" x14ac:dyDescent="0.25">
      <c r="A308" s="5" t="s">
        <v>188</v>
      </c>
    </row>
    <row r="309" spans="1:1" x14ac:dyDescent="0.25">
      <c r="A309" s="16" t="str">
        <f>"          &lt;gain&gt;"&amp;'Control-Sheet'!$Q29&amp;"&lt;/gain&gt;"</f>
        <v xml:space="preserve">          &lt;gain&gt;7&lt;/gain&gt;</v>
      </c>
    </row>
    <row r="310" spans="1:1" x14ac:dyDescent="0.25">
      <c r="A310" s="16" t="str">
        <f>IF('Control-Sheet'!R29="", "", "          &lt;t-da-offset&gt;" &amp; 'Control-Sheet'!R29 &amp; "&lt;/t-da-offset&gt;")</f>
        <v/>
      </c>
    </row>
    <row r="311" spans="1:1" x14ac:dyDescent="0.25">
      <c r="A311" s="5" t="s">
        <v>189</v>
      </c>
    </row>
    <row r="312" spans="1:1" x14ac:dyDescent="0.25">
      <c r="A312" s="14" t="s">
        <v>190</v>
      </c>
    </row>
    <row r="313" spans="1:1" x14ac:dyDescent="0.25">
      <c r="A313" s="17" t="str">
        <f>"          &lt;name&gt;"&amp;'Control-Sheet'!$G29&amp;"&lt;/name&gt;"</f>
        <v xml:space="preserve">          &lt;name&gt;llte_0_0_0_4_0_0&lt;/name&gt;</v>
      </c>
    </row>
    <row r="314" spans="1:1" x14ac:dyDescent="0.25">
      <c r="A314" s="18" t="str">
        <f>"          &lt;processing-element&gt;"&amp;'Control-Sheet'!$H29&amp;"&lt;/processing-element&gt;"</f>
        <v xml:space="preserve">          &lt;processing-element&gt;ru-pe.0&lt;/processing-element&gt;</v>
      </c>
    </row>
    <row r="315" spans="1:1" x14ac:dyDescent="0.25">
      <c r="A315" s="18" t="str">
        <f>"          &lt;tx-array-carrier&gt;"&amp;'Control-Sheet'!$I29&amp;"&lt;/tx-array-carrier&gt;"</f>
        <v xml:space="preserve">          &lt;tx-array-carrier&gt;tac_0_0_0_4&lt;/tx-array-carrier&gt;</v>
      </c>
    </row>
    <row r="316" spans="1:1" x14ac:dyDescent="0.25">
      <c r="A316" s="18" t="str">
        <f>"          &lt;low-level-tx-endpoint&gt;"&amp;'Control-Sheet'!$J29&amp;"&lt;/low-level-tx-endpoint&gt;"</f>
        <v xml:space="preserve">          &lt;low-level-tx-endpoint&gt;llte_0_0_0_4_0_0&lt;/low-level-tx-endpoint&gt;</v>
      </c>
    </row>
    <row r="317" spans="1:1" x14ac:dyDescent="0.25">
      <c r="A317" s="14" t="s">
        <v>191</v>
      </c>
    </row>
    <row r="318" spans="1:1" x14ac:dyDescent="0.25">
      <c r="A318" t="str">
        <f>_xlfn.IFS('Control-Sheet'!$A$29="OFF", 'Control-Sheet'!$K$6, TRUE, "")</f>
        <v/>
      </c>
    </row>
    <row r="319" spans="1:1" x14ac:dyDescent="0.25">
      <c r="A319" t="str">
        <f>_xlfn.IFS('Control-Sheet'!$A$30="OFF", 'Control-Sheet'!$K$5, TRUE, "")</f>
        <v/>
      </c>
    </row>
    <row r="320" spans="1:1" x14ac:dyDescent="0.25">
      <c r="A320" s="6" t="s">
        <v>166</v>
      </c>
    </row>
    <row r="321" spans="1:1" x14ac:dyDescent="0.25">
      <c r="A321" s="7" t="str">
        <f>"          &lt;name&gt;"&amp;'Control-Sheet'!$C30&amp;"&lt;/name&gt;"</f>
        <v xml:space="preserve">          &lt;name&gt;llte_0_0_1_4_0_0&lt;/name&gt;</v>
      </c>
    </row>
    <row r="322" spans="1:1" x14ac:dyDescent="0.25">
      <c r="A322" s="6" t="s">
        <v>167</v>
      </c>
    </row>
    <row r="323" spans="1:1" x14ac:dyDescent="0.25">
      <c r="A323" s="6" t="s">
        <v>168</v>
      </c>
    </row>
    <row r="324" spans="1:1" x14ac:dyDescent="0.25">
      <c r="A324" s="7" t="str">
        <f>_xlfn.IFS('Control-Sheet'!M30="exponent", 'Control-Sheet'!$G$5, 'Control-Sheet'!M30="BFP", 'Control-Sheet'!$G$6, TRUE, "")</f>
        <v/>
      </c>
    </row>
    <row r="325" spans="1:1" x14ac:dyDescent="0.25">
      <c r="A325" s="7" t="str">
        <f>"          &lt;iq-bitwidth&gt;"&amp;'Control-Sheet'!L30&amp;"&lt;/iq-bitwidth&gt;"</f>
        <v xml:space="preserve">          &lt;iq-bitwidth&gt;16&lt;/iq-bitwidth&gt;</v>
      </c>
    </row>
    <row r="326" spans="1:1" x14ac:dyDescent="0.25">
      <c r="A326" s="6" t="s">
        <v>169</v>
      </c>
    </row>
    <row r="327" spans="1:1" x14ac:dyDescent="0.25">
      <c r="A327" s="6" t="s">
        <v>170</v>
      </c>
    </row>
    <row r="328" spans="1:1" x14ac:dyDescent="0.25">
      <c r="A328" s="6" t="s">
        <v>171</v>
      </c>
    </row>
    <row r="329" spans="1:1" x14ac:dyDescent="0.25">
      <c r="A329" s="6" t="s">
        <v>172</v>
      </c>
    </row>
    <row r="330" spans="1:1" x14ac:dyDescent="0.25">
      <c r="A330" s="6" t="s">
        <v>173</v>
      </c>
    </row>
    <row r="331" spans="1:1" x14ac:dyDescent="0.25">
      <c r="A331" s="9" t="s">
        <v>174</v>
      </c>
    </row>
    <row r="332" spans="1:1" x14ac:dyDescent="0.25">
      <c r="A332" s="6" t="s">
        <v>175</v>
      </c>
    </row>
    <row r="333" spans="1:1" x14ac:dyDescent="0.25">
      <c r="A333" s="7" t="str">
        <f>"            &lt;scs&gt;"&amp;'Control-Sheet'!$D30&amp;"&lt;/scs&gt;"</f>
        <v xml:space="preserve">            &lt;scs&gt;KHZ_15&lt;/scs&gt;</v>
      </c>
    </row>
    <row r="334" spans="1:1" x14ac:dyDescent="0.25">
      <c r="A334" s="8" t="str">
        <f>"            &lt;number-of-prb&gt;"&amp;'Control-Sheet'!$E30&amp;"&lt;/number-of-prb&gt;"</f>
        <v xml:space="preserve">            &lt;number-of-prb&gt;106&lt;/number-of-prb&gt;</v>
      </c>
    </row>
    <row r="335" spans="1:1" x14ac:dyDescent="0.25">
      <c r="A335" s="6" t="s">
        <v>176</v>
      </c>
    </row>
    <row r="336" spans="1:1" x14ac:dyDescent="0.25">
      <c r="A336" s="6" t="s">
        <v>177</v>
      </c>
    </row>
    <row r="337" spans="1:1" x14ac:dyDescent="0.25">
      <c r="A337" s="6" t="s">
        <v>178</v>
      </c>
    </row>
    <row r="338" spans="1:1" x14ac:dyDescent="0.25">
      <c r="A338" s="6" t="s">
        <v>179</v>
      </c>
    </row>
    <row r="339" spans="1:1" x14ac:dyDescent="0.25">
      <c r="A339" s="6" t="s">
        <v>180</v>
      </c>
    </row>
    <row r="340" spans="1:1" x14ac:dyDescent="0.25">
      <c r="A340" s="6" t="s">
        <v>181</v>
      </c>
    </row>
    <row r="341" spans="1:1" x14ac:dyDescent="0.25">
      <c r="A341" s="7" t="str">
        <f>"            &lt;eaxc-id&gt;"&amp;'Control-Sheet'!$F30&amp;"&lt;/eaxc-id&gt;"</f>
        <v xml:space="preserve">            &lt;eaxc-id&gt;9&lt;/eaxc-id&gt;</v>
      </c>
    </row>
    <row r="342" spans="1:1" x14ac:dyDescent="0.25">
      <c r="A342" s="6" t="s">
        <v>182</v>
      </c>
    </row>
    <row r="343" spans="1:1" x14ac:dyDescent="0.25">
      <c r="A343" s="6" t="s">
        <v>183</v>
      </c>
    </row>
    <row r="344" spans="1:1" x14ac:dyDescent="0.25">
      <c r="A344" s="5" t="s">
        <v>184</v>
      </c>
    </row>
    <row r="345" spans="1:1" x14ac:dyDescent="0.25">
      <c r="A345" s="15" t="str">
        <f>"          &lt;name&gt;"&amp;'Control-Sheet'!$K30&amp;"&lt;/name&gt;"</f>
        <v xml:space="preserve">          &lt;name&gt;tac_0_0_1_4&lt;/name&gt;</v>
      </c>
    </row>
    <row r="346" spans="1:1" x14ac:dyDescent="0.25">
      <c r="A346" s="5" t="s">
        <v>185</v>
      </c>
    </row>
    <row r="347" spans="1:1" x14ac:dyDescent="0.25">
      <c r="A347" s="16" t="str">
        <f>"          &lt;center-of-channel-bandwidth&gt;"&amp;'Control-Sheet'!$N30*10^6&amp;"&lt;/center-of-channel-bandwidth&gt;"</f>
        <v xml:space="preserve">          &lt;center-of-channel-bandwidth&gt;3445000000&lt;/center-of-channel-bandwidth&gt;</v>
      </c>
    </row>
    <row r="348" spans="1:1" x14ac:dyDescent="0.25">
      <c r="A348" s="16" t="str">
        <f>"          &lt;channel-bandwidth&gt;"&amp;'Control-Sheet'!$O30*10^6&amp;"&lt;/channel-bandwidth&gt;"</f>
        <v xml:space="preserve">          &lt;channel-bandwidth&gt;10000000&lt;/channel-bandwidth&gt;</v>
      </c>
    </row>
    <row r="349" spans="1:1" x14ac:dyDescent="0.25">
      <c r="A349" s="5" t="s">
        <v>186</v>
      </c>
    </row>
    <row r="350" spans="1:1" x14ac:dyDescent="0.25">
      <c r="A350" s="16" t="str">
        <f>"          &lt;type&gt;"&amp;'Control-Sheet'!$P30&amp;"&lt;/type&gt;"</f>
        <v xml:space="preserve">          &lt;type&gt;NR&lt;/type&gt;</v>
      </c>
    </row>
    <row r="351" spans="1:1" x14ac:dyDescent="0.25">
      <c r="A351" s="5" t="s">
        <v>187</v>
      </c>
    </row>
    <row r="352" spans="1:1" x14ac:dyDescent="0.25">
      <c r="A352" s="5" t="s">
        <v>188</v>
      </c>
    </row>
    <row r="353" spans="1:1" x14ac:dyDescent="0.25">
      <c r="A353" s="16" t="str">
        <f>"          &lt;gain&gt;"&amp;'Control-Sheet'!$Q30&amp;"&lt;/gain&gt;"</f>
        <v xml:space="preserve">          &lt;gain&gt;7&lt;/gain&gt;</v>
      </c>
    </row>
    <row r="354" spans="1:1" x14ac:dyDescent="0.25">
      <c r="A354" s="16" t="str">
        <f>IF('Control-Sheet'!R30="", "", "          &lt;t-da-offset&gt;" &amp; 'Control-Sheet'!R30 &amp; "&lt;/t-da-offset&gt;")</f>
        <v/>
      </c>
    </row>
    <row r="355" spans="1:1" x14ac:dyDescent="0.25">
      <c r="A355" s="5" t="s">
        <v>189</v>
      </c>
    </row>
    <row r="356" spans="1:1" x14ac:dyDescent="0.25">
      <c r="A356" s="14" t="s">
        <v>190</v>
      </c>
    </row>
    <row r="357" spans="1:1" x14ac:dyDescent="0.25">
      <c r="A357" s="17" t="str">
        <f>"          &lt;name&gt;"&amp;'Control-Sheet'!$G30&amp;"&lt;/name&gt;"</f>
        <v xml:space="preserve">          &lt;name&gt;llte_0_0_1_4_0_0&lt;/name&gt;</v>
      </c>
    </row>
    <row r="358" spans="1:1" x14ac:dyDescent="0.25">
      <c r="A358" s="18" t="str">
        <f>"          &lt;processing-element&gt;"&amp;'Control-Sheet'!$H30&amp;"&lt;/processing-element&gt;"</f>
        <v xml:space="preserve">          &lt;processing-element&gt;ru-pe.0&lt;/processing-element&gt;</v>
      </c>
    </row>
    <row r="359" spans="1:1" x14ac:dyDescent="0.25">
      <c r="A359" s="18" t="str">
        <f>"          &lt;tx-array-carrier&gt;"&amp;'Control-Sheet'!$I30&amp;"&lt;/tx-array-carrier&gt;"</f>
        <v xml:space="preserve">          &lt;tx-array-carrier&gt;tac_0_0_1_4&lt;/tx-array-carrier&gt;</v>
      </c>
    </row>
    <row r="360" spans="1:1" x14ac:dyDescent="0.25">
      <c r="A360" s="18" t="str">
        <f>"          &lt;low-level-tx-endpoint&gt;"&amp;'Control-Sheet'!$J30&amp;"&lt;/low-level-tx-endpoint&gt;"</f>
        <v xml:space="preserve">          &lt;low-level-tx-endpoint&gt;llte_0_0_1_4_0_0&lt;/low-level-tx-endpoint&gt;</v>
      </c>
    </row>
    <row r="361" spans="1:1" x14ac:dyDescent="0.25">
      <c r="A361" s="14" t="s">
        <v>191</v>
      </c>
    </row>
    <row r="362" spans="1:1" x14ac:dyDescent="0.25">
      <c r="A362" t="str">
        <f>_xlfn.IFS('Control-Sheet'!$A$30="OFF", 'Control-Sheet'!$K$6, TRUE, "")</f>
        <v/>
      </c>
    </row>
    <row r="363" spans="1:1" x14ac:dyDescent="0.25">
      <c r="A363"/>
    </row>
    <row r="364" spans="1:1" x14ac:dyDescent="0.25">
      <c r="A364" t="s">
        <v>192</v>
      </c>
    </row>
    <row r="365" spans="1:1" x14ac:dyDescent="0.25">
      <c r="A365" t="s">
        <v>152</v>
      </c>
    </row>
    <row r="366" spans="1:1" x14ac:dyDescent="0.25">
      <c r="A366" t="s">
        <v>153</v>
      </c>
    </row>
    <row r="367" spans="1:1" x14ac:dyDescent="0.25">
      <c r="A367" t="s">
        <v>154</v>
      </c>
    </row>
  </sheetData>
  <autoFilter ref="A1:A367" xr:uid="{00000000-0009-0000-0000-000003000000}"/>
  <phoneticPr fontId="3" type="noConversion"/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408"/>
  <sheetViews>
    <sheetView topLeftCell="A403" zoomScale="130" zoomScaleNormal="130" workbookViewId="0">
      <selection activeCell="A391" sqref="A391:B391"/>
    </sheetView>
  </sheetViews>
  <sheetFormatPr defaultRowHeight="13.5" x14ac:dyDescent="0.25"/>
  <cols>
    <col min="1" max="1" width="79" style="19" bestFit="1" customWidth="1"/>
    <col min="2" max="2" width="82.7109375" style="29" bestFit="1" customWidth="1"/>
  </cols>
  <sheetData>
    <row r="1" spans="1:1" x14ac:dyDescent="0.25">
      <c r="A1" s="19" t="s">
        <v>155</v>
      </c>
    </row>
    <row r="2" spans="1:1" x14ac:dyDescent="0.25">
      <c r="A2" s="19" t="s">
        <v>193</v>
      </c>
    </row>
    <row r="3" spans="1:1" x14ac:dyDescent="0.25">
      <c r="A3" s="19" t="s">
        <v>138</v>
      </c>
    </row>
    <row r="4" spans="1:1" x14ac:dyDescent="0.25">
      <c r="A4" s="19" t="s">
        <v>139</v>
      </c>
    </row>
    <row r="5" spans="1:1" x14ac:dyDescent="0.25">
      <c r="A5" s="19" t="s">
        <v>140</v>
      </c>
    </row>
    <row r="6" spans="1:1" x14ac:dyDescent="0.25">
      <c r="A6" s="19" t="s">
        <v>141</v>
      </c>
    </row>
    <row r="7" spans="1:1" x14ac:dyDescent="0.25">
      <c r="A7" s="19" t="s">
        <v>142</v>
      </c>
    </row>
    <row r="8" spans="1:1" x14ac:dyDescent="0.25">
      <c r="A8" s="19" t="s">
        <v>143</v>
      </c>
    </row>
    <row r="9" spans="1:1" x14ac:dyDescent="0.25">
      <c r="A9" s="19" t="s">
        <v>165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194</v>
      </c>
    </row>
    <row r="13" spans="1:1" x14ac:dyDescent="0.25">
      <c r="A13" s="8" t="str">
        <f>"            &lt;name&gt;"&amp;'Control-Sheet'!$C36&amp;"&lt;/name&gt;"</f>
        <v xml:space="preserve">            &lt;name&gt;llre_0_0_0_1_0_0&lt;/name&gt;</v>
      </c>
    </row>
    <row r="14" spans="1:1" x14ac:dyDescent="0.25">
      <c r="A14" s="1" t="s">
        <v>167</v>
      </c>
    </row>
    <row r="15" spans="1:1" x14ac:dyDescent="0.25">
      <c r="A15" s="1" t="s">
        <v>168</v>
      </c>
    </row>
    <row r="16" spans="1:1" x14ac:dyDescent="0.25">
      <c r="A16" s="7" t="str">
        <f>_xlfn.IFS('Control-Sheet'!M36="exponent", 'Control-Sheet'!$G$5, 'Control-Sheet'!M36="BFP", 'Control-Sheet'!$G$6, TRUE, "")</f>
        <v/>
      </c>
    </row>
    <row r="17" spans="1:1" x14ac:dyDescent="0.25">
      <c r="A17" s="7" t="str">
        <f>"          &lt;iq-bitwidth&gt;"&amp;'Control-Sheet'!L36&amp;"&lt;/iq-bitwidth&gt;"</f>
        <v xml:space="preserve">          &lt;iq-bitwidth&gt;16&lt;/iq-bitwidth&gt;</v>
      </c>
    </row>
    <row r="18" spans="1:1" x14ac:dyDescent="0.25">
      <c r="A18" s="1" t="s">
        <v>169</v>
      </c>
    </row>
    <row r="19" spans="1:1" x14ac:dyDescent="0.25">
      <c r="A19" s="1" t="s">
        <v>170</v>
      </c>
    </row>
    <row r="20" spans="1:1" x14ac:dyDescent="0.25">
      <c r="A20" s="1" t="s">
        <v>171</v>
      </c>
    </row>
    <row r="21" spans="1:1" x14ac:dyDescent="0.25">
      <c r="A21" s="1" t="s">
        <v>172</v>
      </c>
    </row>
    <row r="22" spans="1:1" x14ac:dyDescent="0.25">
      <c r="A22" s="1" t="s">
        <v>173</v>
      </c>
    </row>
    <row r="23" spans="1:1" x14ac:dyDescent="0.25">
      <c r="A23" s="1" t="s">
        <v>174</v>
      </c>
    </row>
    <row r="24" spans="1:1" x14ac:dyDescent="0.25">
      <c r="A24" s="1" t="s">
        <v>175</v>
      </c>
    </row>
    <row r="25" spans="1:1" x14ac:dyDescent="0.25">
      <c r="A25" s="8" t="str">
        <f>"            &lt;scs&gt;"&amp;'Control-Sheet'!$D36&amp;"&lt;/scs&gt;"</f>
        <v xml:space="preserve">            &lt;scs&gt;KHZ_15&lt;/scs&gt;</v>
      </c>
    </row>
    <row r="26" spans="1:1" x14ac:dyDescent="0.25">
      <c r="A26" s="8" t="str">
        <f>"            &lt;number-of-prb&gt;"&amp;'Control-Sheet'!$E36&amp;"&lt;/number-of-prb&gt;"</f>
        <v xml:space="preserve">            &lt;number-of-prb&gt;106&lt;/number-of-prb&gt;</v>
      </c>
    </row>
    <row r="27" spans="1:1" x14ac:dyDescent="0.25">
      <c r="A27" s="1" t="s">
        <v>176</v>
      </c>
    </row>
    <row r="28" spans="1:1" x14ac:dyDescent="0.25">
      <c r="A28" s="1" t="s">
        <v>195</v>
      </c>
    </row>
    <row r="29" spans="1:1" x14ac:dyDescent="0.25">
      <c r="A29" s="8" t="str">
        <f>"            &lt;scs&gt;"&amp;'Control-Sheet'!$D36&amp;"&lt;/scs&gt;"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&lt;ul-fft-sampling-offset&gt;"&amp;'Control-Sheet'!$F36&amp;"&lt;/ul-fft-sampling-offset&gt;"</f>
        <v xml:space="preserve">            &lt;ul-fft-sampling-offset&gt;0&lt;/ul-fft-sampling-offset&gt;</v>
      </c>
    </row>
    <row r="31" spans="1:1" x14ac:dyDescent="0.25">
      <c r="A31" s="1" t="s">
        <v>196</v>
      </c>
    </row>
    <row r="32" spans="1:1" x14ac:dyDescent="0.25">
      <c r="A32" s="1" t="s">
        <v>177</v>
      </c>
    </row>
    <row r="33" spans="1:1" x14ac:dyDescent="0.25">
      <c r="A33" s="1" t="s">
        <v>178</v>
      </c>
    </row>
    <row r="34" spans="1:1" x14ac:dyDescent="0.25">
      <c r="A34" s="1" t="s">
        <v>179</v>
      </c>
    </row>
    <row r="35" spans="1:1" x14ac:dyDescent="0.25">
      <c r="A35" s="1" t="s">
        <v>180</v>
      </c>
    </row>
    <row r="36" spans="1:1" x14ac:dyDescent="0.25">
      <c r="A36" s="1" t="s">
        <v>181</v>
      </c>
    </row>
    <row r="37" spans="1:1" x14ac:dyDescent="0.25">
      <c r="A37" s="8" t="str">
        <f>"            &lt;eaxc-id&gt;"&amp;'Control-Sheet'!$G36&amp;"&lt;/eaxc-id&gt;"</f>
        <v xml:space="preserve">            &lt;eaxc-id&gt;18&lt;/eaxc-id&gt;</v>
      </c>
    </row>
    <row r="38" spans="1:1" x14ac:dyDescent="0.25">
      <c r="A38" s="1" t="s">
        <v>182</v>
      </c>
    </row>
    <row r="39" spans="1:1" x14ac:dyDescent="0.25">
      <c r="A39" s="1" t="s">
        <v>197</v>
      </c>
    </row>
    <row r="40" spans="1:1" x14ac:dyDescent="0.25">
      <c r="A40" s="2" t="s">
        <v>198</v>
      </c>
    </row>
    <row r="41" spans="1:1" x14ac:dyDescent="0.25">
      <c r="A41" s="16" t="str">
        <f>"          &lt;name&gt;"&amp;'Control-Sheet'!$N36&amp;"&lt;/name&gt;"</f>
        <v xml:space="preserve">          &lt;name&gt;rac_0_0_0_1&lt;/name&gt;</v>
      </c>
    </row>
    <row r="42" spans="1:1" x14ac:dyDescent="0.25">
      <c r="A42" s="2" t="s">
        <v>185</v>
      </c>
    </row>
    <row r="43" spans="1:1" x14ac:dyDescent="0.25">
      <c r="A43" s="16" t="str">
        <f>"          &lt;center-of-channel-bandwidth&gt;"&amp;'Control-Sheet'!$O36*10^6&amp;"&lt;/center-of-channel-bandwidth&gt;"</f>
        <v xml:space="preserve">          &lt;center-of-channel-bandwidth&gt;3415000000&lt;/center-of-channel-bandwidth&gt;</v>
      </c>
    </row>
    <row r="44" spans="1:1" x14ac:dyDescent="0.25">
      <c r="A44" s="16" t="str">
        <f>"          &lt;channel-bandwidth&gt;"&amp;'Control-Sheet'!$P36*10^6&amp;"&lt;/channel-bandwidth&gt;"</f>
        <v xml:space="preserve">          &lt;channel-bandwidth&gt;10000000&lt;/channel-bandwidth&gt;</v>
      </c>
    </row>
    <row r="45" spans="1:1" x14ac:dyDescent="0.25">
      <c r="A45" s="2" t="s">
        <v>186</v>
      </c>
    </row>
    <row r="46" spans="1:1" x14ac:dyDescent="0.25">
      <c r="A46" s="16" t="str">
        <f>"          &lt;type&gt;"&amp;'Control-Sheet'!$Q36&amp;"&lt;/type&gt;"</f>
        <v xml:space="preserve">          &lt;type&gt;NR&lt;/type&gt;</v>
      </c>
    </row>
    <row r="47" spans="1:1" x14ac:dyDescent="0.25">
      <c r="A47" s="16" t="str">
        <f>"          &lt;n-ta-offset&gt;"&amp;'Control-Sheet'!$R36&amp;"&lt;/n-ta-offset&gt;"</f>
        <v xml:space="preserve">          &lt;n-ta-offset&gt;25600&lt;/n-ta-offset&gt;</v>
      </c>
    </row>
    <row r="48" spans="1:1" x14ac:dyDescent="0.25">
      <c r="A48" s="16" t="str">
        <f>IF('Control-Sheet'!S36="", "", "          &lt;t-au-offset&gt;" &amp; 'Control-Sheet'!S36 &amp; "&lt;/t-au-offset&gt;")</f>
        <v/>
      </c>
    </row>
    <row r="49" spans="1:1" x14ac:dyDescent="0.25">
      <c r="A49" s="25" t="s">
        <v>199</v>
      </c>
    </row>
    <row r="50" spans="1:1" x14ac:dyDescent="0.25">
      <c r="A50" s="2" t="s">
        <v>187</v>
      </c>
    </row>
    <row r="51" spans="1:1" x14ac:dyDescent="0.25">
      <c r="A51" s="2" t="s">
        <v>188</v>
      </c>
    </row>
    <row r="52" spans="1:1" x14ac:dyDescent="0.25">
      <c r="A52" s="2" t="s">
        <v>200</v>
      </c>
    </row>
    <row r="53" spans="1:1" x14ac:dyDescent="0.25">
      <c r="A53" s="3" t="s">
        <v>201</v>
      </c>
    </row>
    <row r="54" spans="1:1" x14ac:dyDescent="0.25">
      <c r="A54" s="18" t="str">
        <f>"          &lt;name&gt;"&amp;'Control-Sheet'!$H36&amp;"&lt;/name&gt;"</f>
        <v xml:space="preserve">          &lt;name&gt;llre_0_0_0_1_0_0&lt;/name&gt;</v>
      </c>
    </row>
    <row r="55" spans="1:1" x14ac:dyDescent="0.25">
      <c r="A55" s="18" t="str">
        <f>"          &lt;processing-element&gt;"&amp;'Control-Sheet'!$I36&amp;"&lt;/processing-element&gt;"</f>
        <v xml:space="preserve">          &lt;processing-element&gt;ru-pe.0&lt;/processing-element&gt;</v>
      </c>
    </row>
    <row r="56" spans="1:1" x14ac:dyDescent="0.25">
      <c r="A56" s="18" t="str">
        <f>"          &lt;rx-array-carrier&gt;"&amp;'Control-Sheet'!$J36&amp;"&lt;/rx-array-carrier&gt;"</f>
        <v xml:space="preserve">          &lt;rx-array-carrier&gt;rac_0_0_0_1&lt;/rx-array-carrier&gt;</v>
      </c>
    </row>
    <row r="57" spans="1:1" x14ac:dyDescent="0.25">
      <c r="A57" s="18" t="str">
        <f>"          &lt;low-level-rx-endpoint&gt;"&amp;'Control-Sheet'!$K36&amp;"&lt;/low-level-rx-endpoint&gt;"</f>
        <v xml:space="preserve">          &lt;low-level-rx-endpoint&gt;llre_0_0_0_1_0_0&lt;/low-level-rx-endpoint&gt;</v>
      </c>
    </row>
    <row r="58" spans="1:1" x14ac:dyDescent="0.25">
      <c r="A58" s="3" t="s">
        <v>202</v>
      </c>
    </row>
    <row r="59" spans="1:1" x14ac:dyDescent="0.25">
      <c r="A59" t="str">
        <f>_xlfn.IFS('Control-Sheet'!$A$23="OFF", 'Control-Sheet'!$K$6, TRUE, "")</f>
        <v/>
      </c>
    </row>
    <row r="60" spans="1:1" x14ac:dyDescent="0.25">
      <c r="A60" t="str">
        <f>_xlfn.IFS('Control-Sheet'!$A$24="OFF", 'Control-Sheet'!$K$5, TRUE, "")</f>
        <v/>
      </c>
    </row>
    <row r="61" spans="1:1" x14ac:dyDescent="0.25">
      <c r="A61" s="1" t="s">
        <v>194</v>
      </c>
    </row>
    <row r="62" spans="1:1" x14ac:dyDescent="0.25">
      <c r="A62" s="8" t="str">
        <f>"            &lt;name&gt;"&amp;'Control-Sheet'!$C37&amp;"&lt;/name&gt;"</f>
        <v xml:space="preserve">            &lt;name&gt;llre_0_0_1_1_0_0&lt;/name&gt;</v>
      </c>
    </row>
    <row r="63" spans="1:1" x14ac:dyDescent="0.25">
      <c r="A63" s="1" t="s">
        <v>167</v>
      </c>
    </row>
    <row r="64" spans="1:1" x14ac:dyDescent="0.25">
      <c r="A64" s="1" t="s">
        <v>168</v>
      </c>
    </row>
    <row r="65" spans="1:1" x14ac:dyDescent="0.25">
      <c r="A65" s="7" t="str">
        <f>_xlfn.IFS('Control-Sheet'!M37="exponent", 'Control-Sheet'!$G$5, 'Control-Sheet'!M37="BFP", 'Control-Sheet'!$G$6, TRUE, "")</f>
        <v/>
      </c>
    </row>
    <row r="66" spans="1:1" x14ac:dyDescent="0.25">
      <c r="A66" s="7" t="str">
        <f>"          &lt;iq-bitwidth&gt;"&amp;'Control-Sheet'!L37&amp;"&lt;/iq-bitwidth&gt;"</f>
        <v xml:space="preserve">          &lt;iq-bitwidth&gt;16&lt;/iq-bitwidth&gt;</v>
      </c>
    </row>
    <row r="67" spans="1:1" x14ac:dyDescent="0.25">
      <c r="A67" s="1" t="s">
        <v>169</v>
      </c>
    </row>
    <row r="68" spans="1:1" x14ac:dyDescent="0.25">
      <c r="A68" s="1" t="s">
        <v>170</v>
      </c>
    </row>
    <row r="69" spans="1:1" x14ac:dyDescent="0.25">
      <c r="A69" s="1" t="s">
        <v>171</v>
      </c>
    </row>
    <row r="70" spans="1:1" x14ac:dyDescent="0.25">
      <c r="A70" s="1" t="s">
        <v>172</v>
      </c>
    </row>
    <row r="71" spans="1:1" x14ac:dyDescent="0.25">
      <c r="A71" s="1" t="s">
        <v>173</v>
      </c>
    </row>
    <row r="72" spans="1:1" x14ac:dyDescent="0.25">
      <c r="A72" s="1" t="s">
        <v>174</v>
      </c>
    </row>
    <row r="73" spans="1:1" x14ac:dyDescent="0.25">
      <c r="A73" s="1" t="s">
        <v>175</v>
      </c>
    </row>
    <row r="74" spans="1:1" x14ac:dyDescent="0.25">
      <c r="A74" s="8" t="str">
        <f>"            &lt;scs&gt;"&amp;'Control-Sheet'!$D37&amp;"&lt;/scs&gt;"</f>
        <v xml:space="preserve">            &lt;scs&gt;KHZ_15&lt;/scs&gt;</v>
      </c>
    </row>
    <row r="75" spans="1:1" x14ac:dyDescent="0.25">
      <c r="A75" s="8" t="str">
        <f>"            &lt;number-of-prb&gt;"&amp;'Control-Sheet'!$E37&amp;"&lt;/number-of-prb&gt;"</f>
        <v xml:space="preserve">            &lt;number-of-prb&gt;106&lt;/number-of-prb&gt;</v>
      </c>
    </row>
    <row r="76" spans="1:1" x14ac:dyDescent="0.25">
      <c r="A76" s="1" t="s">
        <v>176</v>
      </c>
    </row>
    <row r="77" spans="1:1" x14ac:dyDescent="0.25">
      <c r="A77" s="1" t="s">
        <v>195</v>
      </c>
    </row>
    <row r="78" spans="1:1" x14ac:dyDescent="0.25">
      <c r="A78" s="8" t="str">
        <f>"            &lt;scs&gt;"&amp;'Control-Sheet'!$D37&amp;"&lt;/scs&gt;"</f>
        <v xml:space="preserve">            &lt;scs&gt;KHZ_15&lt;/scs&gt;</v>
      </c>
    </row>
    <row r="79" spans="1:1" x14ac:dyDescent="0.25">
      <c r="A79" s="8" t="str">
        <f>"            &lt;ul-fft-sampling-offset&gt;"&amp;'Control-Sheet'!$F37&amp;"&lt;/ul-fft-sampling-offset&gt;"</f>
        <v xml:space="preserve">            &lt;ul-fft-sampling-offset&gt;0&lt;/ul-fft-sampling-offset&gt;</v>
      </c>
    </row>
    <row r="80" spans="1:1" x14ac:dyDescent="0.25">
      <c r="A80" s="1" t="s">
        <v>196</v>
      </c>
    </row>
    <row r="81" spans="1:1" x14ac:dyDescent="0.25">
      <c r="A81" s="1" t="s">
        <v>177</v>
      </c>
    </row>
    <row r="82" spans="1:1" x14ac:dyDescent="0.25">
      <c r="A82" s="1" t="s">
        <v>178</v>
      </c>
    </row>
    <row r="83" spans="1:1" x14ac:dyDescent="0.25">
      <c r="A83" s="1" t="s">
        <v>179</v>
      </c>
    </row>
    <row r="84" spans="1:1" x14ac:dyDescent="0.25">
      <c r="A84" s="1" t="s">
        <v>180</v>
      </c>
    </row>
    <row r="85" spans="1:1" x14ac:dyDescent="0.25">
      <c r="A85" s="1" t="s">
        <v>181</v>
      </c>
    </row>
    <row r="86" spans="1:1" x14ac:dyDescent="0.25">
      <c r="A86" s="8" t="str">
        <f>"            &lt;eaxc-id&gt;"&amp;'Control-Sheet'!$G37&amp;"&lt;/eaxc-id&gt;"</f>
        <v xml:space="preserve">            &lt;eaxc-id&gt;19&lt;/eaxc-id&gt;</v>
      </c>
    </row>
    <row r="87" spans="1:1" x14ac:dyDescent="0.25">
      <c r="A87" s="1" t="s">
        <v>182</v>
      </c>
    </row>
    <row r="88" spans="1:1" x14ac:dyDescent="0.25">
      <c r="A88" s="1" t="s">
        <v>197</v>
      </c>
    </row>
    <row r="89" spans="1:1" x14ac:dyDescent="0.25">
      <c r="A89" s="2" t="s">
        <v>198</v>
      </c>
    </row>
    <row r="90" spans="1:1" x14ac:dyDescent="0.25">
      <c r="A90" s="16" t="str">
        <f>"          &lt;name&gt;"&amp;'Control-Sheet'!$N37&amp;"&lt;/name&gt;"</f>
        <v xml:space="preserve">          &lt;name&gt;rac_0_0_1_1&lt;/name&gt;</v>
      </c>
    </row>
    <row r="91" spans="1:1" x14ac:dyDescent="0.25">
      <c r="A91" s="2" t="s">
        <v>185</v>
      </c>
    </row>
    <row r="92" spans="1:1" x14ac:dyDescent="0.25">
      <c r="A92" s="16" t="str">
        <f>"          &lt;center-of-channel-bandwidth&gt;"&amp;'Control-Sheet'!$O37*10^6&amp;"&lt;/center-of-channel-bandwidth&gt;"</f>
        <v xml:space="preserve">          &lt;center-of-channel-bandwidth&gt;3445000000&lt;/center-of-channel-bandwidth&gt;</v>
      </c>
    </row>
    <row r="93" spans="1:1" x14ac:dyDescent="0.25">
      <c r="A93" s="16" t="str">
        <f>"          &lt;channel-bandwidth&gt;"&amp;'Control-Sheet'!$P37*10^6&amp;"&lt;/channel-bandwidth&gt;"</f>
        <v xml:space="preserve">          &lt;channel-bandwidth&gt;10000000&lt;/channel-bandwidth&gt;</v>
      </c>
    </row>
    <row r="94" spans="1:1" x14ac:dyDescent="0.25">
      <c r="A94" s="2" t="s">
        <v>186</v>
      </c>
    </row>
    <row r="95" spans="1:1" x14ac:dyDescent="0.25">
      <c r="A95" s="16" t="str">
        <f>"          &lt;type&gt;"&amp;'Control-Sheet'!$Q37&amp;"&lt;/type&gt;"</f>
        <v xml:space="preserve">          &lt;type&gt;NR&lt;/type&gt;</v>
      </c>
    </row>
    <row r="96" spans="1:1" x14ac:dyDescent="0.25">
      <c r="A96" s="16" t="str">
        <f>"          &lt;n-ta-offset&gt;"&amp;'Control-Sheet'!$R37&amp;"&lt;/n-ta-offset&gt;"</f>
        <v xml:space="preserve">          &lt;n-ta-offset&gt;25600&lt;/n-ta-offset&gt;</v>
      </c>
    </row>
    <row r="97" spans="1:1" x14ac:dyDescent="0.25">
      <c r="A97" s="16" t="str">
        <f>IF('Control-Sheet'!S37="", "", "          &lt;t-au-offset&gt;" &amp; 'Control-Sheet'!S37 &amp; "&lt;/t-au-offset&gt;")</f>
        <v/>
      </c>
    </row>
    <row r="98" spans="1:1" x14ac:dyDescent="0.25">
      <c r="A98" s="25" t="s">
        <v>199</v>
      </c>
    </row>
    <row r="99" spans="1:1" x14ac:dyDescent="0.25">
      <c r="A99" s="2" t="s">
        <v>187</v>
      </c>
    </row>
    <row r="100" spans="1:1" x14ac:dyDescent="0.25">
      <c r="A100" s="2" t="s">
        <v>188</v>
      </c>
    </row>
    <row r="101" spans="1:1" x14ac:dyDescent="0.25">
      <c r="A101" s="2" t="s">
        <v>200</v>
      </c>
    </row>
    <row r="102" spans="1:1" x14ac:dyDescent="0.25">
      <c r="A102" s="3" t="s">
        <v>201</v>
      </c>
    </row>
    <row r="103" spans="1:1" x14ac:dyDescent="0.25">
      <c r="A103" s="18" t="str">
        <f>"          &lt;name&gt;"&amp;'Control-Sheet'!$H37&amp;"&lt;/name&gt;"</f>
        <v xml:space="preserve">          &lt;name&gt;llre_0_0_1_1_0_0&lt;/name&gt;</v>
      </c>
    </row>
    <row r="104" spans="1:1" x14ac:dyDescent="0.25">
      <c r="A104" s="18" t="str">
        <f>"          &lt;processing-element&gt;"&amp;'Control-Sheet'!$I37&amp;"&lt;/processing-element&gt;"</f>
        <v xml:space="preserve">          &lt;processing-element&gt;ru-pe.0&lt;/processing-element&gt;</v>
      </c>
    </row>
    <row r="105" spans="1:1" x14ac:dyDescent="0.25">
      <c r="A105" s="18" t="str">
        <f>"          &lt;rx-array-carrier&gt;"&amp;'Control-Sheet'!$J37&amp;"&lt;/rx-array-carrier&gt;"</f>
        <v xml:space="preserve">          &lt;rx-array-carrier&gt;rac_0_0_1_1&lt;/rx-array-carrier&gt;</v>
      </c>
    </row>
    <row r="106" spans="1:1" x14ac:dyDescent="0.25">
      <c r="A106" s="18" t="str">
        <f>"          &lt;low-level-rx-endpoint&gt;"&amp;'Control-Sheet'!$K37&amp;"&lt;/low-level-rx-endpoint&gt;"</f>
        <v xml:space="preserve">          &lt;low-level-rx-endpoint&gt;llre_0_0_1_1_0_0&lt;/low-level-rx-endpoint&gt;</v>
      </c>
    </row>
    <row r="107" spans="1:1" x14ac:dyDescent="0.25">
      <c r="A107" s="3" t="s">
        <v>202</v>
      </c>
    </row>
    <row r="108" spans="1:1" x14ac:dyDescent="0.25">
      <c r="A108" t="str">
        <f>_xlfn.IFS('Control-Sheet'!$A$24="OFF", 'Control-Sheet'!$K$6, TRUE, "")</f>
        <v/>
      </c>
    </row>
    <row r="109" spans="1:1" x14ac:dyDescent="0.25">
      <c r="A109" t="str">
        <f>_xlfn.IFS('Control-Sheet'!$A$25="OFF", 'Control-Sheet'!$K$5, TRUE, "")</f>
        <v/>
      </c>
    </row>
    <row r="110" spans="1:1" x14ac:dyDescent="0.25">
      <c r="A110" s="1" t="s">
        <v>194</v>
      </c>
    </row>
    <row r="111" spans="1:1" x14ac:dyDescent="0.25">
      <c r="A111" s="8" t="str">
        <f>"            &lt;name&gt;"&amp;'Control-Sheet'!$C38&amp;"&lt;/name&gt;"</f>
        <v xml:space="preserve">            &lt;name&gt;llre_0_0_0_2_0_0&lt;/name&gt;</v>
      </c>
    </row>
    <row r="112" spans="1:1" x14ac:dyDescent="0.25">
      <c r="A112" s="1" t="s">
        <v>167</v>
      </c>
    </row>
    <row r="113" spans="1:1" x14ac:dyDescent="0.25">
      <c r="A113" s="1" t="s">
        <v>168</v>
      </c>
    </row>
    <row r="114" spans="1:1" x14ac:dyDescent="0.25">
      <c r="A114" s="7" t="str">
        <f>_xlfn.IFS('Control-Sheet'!M38="exponent", 'Control-Sheet'!$G$5, 'Control-Sheet'!M38="BFP", 'Control-Sheet'!$G$6, TRUE, "")</f>
        <v/>
      </c>
    </row>
    <row r="115" spans="1:1" x14ac:dyDescent="0.25">
      <c r="A115" s="7" t="str">
        <f>"          &lt;iq-bitwidth&gt;"&amp;'Control-Sheet'!L38&amp;"&lt;/iq-bitwidth&gt;"</f>
        <v xml:space="preserve">          &lt;iq-bitwidth&gt;16&lt;/iq-bitwidth&gt;</v>
      </c>
    </row>
    <row r="116" spans="1:1" x14ac:dyDescent="0.25">
      <c r="A116" s="1" t="s">
        <v>169</v>
      </c>
    </row>
    <row r="117" spans="1:1" x14ac:dyDescent="0.25">
      <c r="A117" s="1" t="s">
        <v>170</v>
      </c>
    </row>
    <row r="118" spans="1:1" x14ac:dyDescent="0.25">
      <c r="A118" s="1" t="s">
        <v>171</v>
      </c>
    </row>
    <row r="119" spans="1:1" x14ac:dyDescent="0.25">
      <c r="A119" s="1" t="s">
        <v>172</v>
      </c>
    </row>
    <row r="120" spans="1:1" x14ac:dyDescent="0.25">
      <c r="A120" s="1" t="s">
        <v>173</v>
      </c>
    </row>
    <row r="121" spans="1:1" x14ac:dyDescent="0.25">
      <c r="A121" s="1" t="s">
        <v>174</v>
      </c>
    </row>
    <row r="122" spans="1:1" x14ac:dyDescent="0.25">
      <c r="A122" s="1" t="s">
        <v>175</v>
      </c>
    </row>
    <row r="123" spans="1:1" x14ac:dyDescent="0.25">
      <c r="A123" s="8" t="str">
        <f>"            &lt;scs&gt;"&amp;'Control-Sheet'!$D38&amp;"&lt;/scs&gt;"</f>
        <v xml:space="preserve">            &lt;scs&gt;KHZ_15&lt;/scs&gt;</v>
      </c>
    </row>
    <row r="124" spans="1:1" x14ac:dyDescent="0.25">
      <c r="A124" s="8" t="str">
        <f>"            &lt;number-of-prb&gt;"&amp;'Control-Sheet'!$E38&amp;"&lt;/number-of-prb&gt;"</f>
        <v xml:space="preserve">            &lt;number-of-prb&gt;106&lt;/number-of-prb&gt;</v>
      </c>
    </row>
    <row r="125" spans="1:1" x14ac:dyDescent="0.25">
      <c r="A125" s="1" t="s">
        <v>176</v>
      </c>
    </row>
    <row r="126" spans="1:1" x14ac:dyDescent="0.25">
      <c r="A126" s="1" t="s">
        <v>195</v>
      </c>
    </row>
    <row r="127" spans="1:1" x14ac:dyDescent="0.25">
      <c r="A127" s="8" t="str">
        <f>"            &lt;scs&gt;"&amp;'Control-Sheet'!$D38&amp;"&lt;/scs&gt;"</f>
        <v xml:space="preserve">            &lt;scs&gt;KHZ_15&lt;/scs&gt;</v>
      </c>
    </row>
    <row r="128" spans="1:1" x14ac:dyDescent="0.25">
      <c r="A128" s="8" t="str">
        <f>"            &lt;ul-fft-sampling-offset&gt;"&amp;'Control-Sheet'!$F38&amp;"&lt;/ul-fft-sampling-offset&gt;"</f>
        <v xml:space="preserve">            &lt;ul-fft-sampling-offset&gt;0&lt;/ul-fft-sampling-offset&gt;</v>
      </c>
    </row>
    <row r="129" spans="1:1" x14ac:dyDescent="0.25">
      <c r="A129" s="1" t="s">
        <v>196</v>
      </c>
    </row>
    <row r="130" spans="1:1" x14ac:dyDescent="0.25">
      <c r="A130" s="1" t="s">
        <v>177</v>
      </c>
    </row>
    <row r="131" spans="1:1" x14ac:dyDescent="0.25">
      <c r="A131" s="1" t="s">
        <v>178</v>
      </c>
    </row>
    <row r="132" spans="1:1" x14ac:dyDescent="0.25">
      <c r="A132" s="1" t="s">
        <v>179</v>
      </c>
    </row>
    <row r="133" spans="1:1" x14ac:dyDescent="0.25">
      <c r="A133" s="1" t="s">
        <v>180</v>
      </c>
    </row>
    <row r="134" spans="1:1" x14ac:dyDescent="0.25">
      <c r="A134" s="1" t="s">
        <v>181</v>
      </c>
    </row>
    <row r="135" spans="1:1" x14ac:dyDescent="0.25">
      <c r="A135" s="8" t="str">
        <f>"            &lt;eaxc-id&gt;"&amp;'Control-Sheet'!$G38&amp;"&lt;/eaxc-id&gt;"</f>
        <v xml:space="preserve">            &lt;eaxc-id&gt;20&lt;/eaxc-id&gt;</v>
      </c>
    </row>
    <row r="136" spans="1:1" x14ac:dyDescent="0.25">
      <c r="A136" s="1" t="s">
        <v>182</v>
      </c>
    </row>
    <row r="137" spans="1:1" x14ac:dyDescent="0.25">
      <c r="A137" s="1" t="s">
        <v>197</v>
      </c>
    </row>
    <row r="138" spans="1:1" x14ac:dyDescent="0.25">
      <c r="A138" s="2" t="s">
        <v>198</v>
      </c>
    </row>
    <row r="139" spans="1:1" x14ac:dyDescent="0.25">
      <c r="A139" s="16" t="str">
        <f>"          &lt;name&gt;"&amp;'Control-Sheet'!$N38&amp;"&lt;/name&gt;"</f>
        <v xml:space="preserve">          &lt;name&gt;rac_0_0_0_2&lt;/name&gt;</v>
      </c>
    </row>
    <row r="140" spans="1:1" x14ac:dyDescent="0.25">
      <c r="A140" s="2" t="s">
        <v>185</v>
      </c>
    </row>
    <row r="141" spans="1:1" x14ac:dyDescent="0.25">
      <c r="A141" s="16" t="str">
        <f>"          &lt;center-of-channel-bandwidth&gt;"&amp;'Control-Sheet'!$O38*10^6&amp;"&lt;/center-of-channel-bandwidth&gt;"</f>
        <v xml:space="preserve">          &lt;center-of-channel-bandwidth&gt;3415000000&lt;/center-of-channel-bandwidth&gt;</v>
      </c>
    </row>
    <row r="142" spans="1:1" x14ac:dyDescent="0.25">
      <c r="A142" s="16" t="str">
        <f>"          &lt;channel-bandwidth&gt;"&amp;'Control-Sheet'!$P38*10^6&amp;"&lt;/channel-bandwidth&gt;"</f>
        <v xml:space="preserve">          &lt;channel-bandwidth&gt;10000000&lt;/channel-bandwidth&gt;</v>
      </c>
    </row>
    <row r="143" spans="1:1" x14ac:dyDescent="0.25">
      <c r="A143" s="2" t="s">
        <v>186</v>
      </c>
    </row>
    <row r="144" spans="1:1" x14ac:dyDescent="0.25">
      <c r="A144" s="16" t="str">
        <f>"          &lt;type&gt;"&amp;'Control-Sheet'!$Q38&amp;"&lt;/type&gt;"</f>
        <v xml:space="preserve">          &lt;type&gt;NR&lt;/type&gt;</v>
      </c>
    </row>
    <row r="145" spans="1:1" x14ac:dyDescent="0.25">
      <c r="A145" s="16" t="str">
        <f>"          &lt;n-ta-offset&gt;"&amp;'Control-Sheet'!$R38&amp;"&lt;/n-ta-offset&gt;"</f>
        <v xml:space="preserve">          &lt;n-ta-offset&gt;25600&lt;/n-ta-offset&gt;</v>
      </c>
    </row>
    <row r="146" spans="1:1" x14ac:dyDescent="0.25">
      <c r="A146" s="16" t="str">
        <f>IF('Control-Sheet'!S38="", "", "          &lt;t-au-offset&gt;" &amp; 'Control-Sheet'!S38 &amp; "&lt;/t-au-offset&gt;")</f>
        <v/>
      </c>
    </row>
    <row r="147" spans="1:1" x14ac:dyDescent="0.25">
      <c r="A147" s="25" t="s">
        <v>199</v>
      </c>
    </row>
    <row r="148" spans="1:1" x14ac:dyDescent="0.25">
      <c r="A148" s="2" t="s">
        <v>187</v>
      </c>
    </row>
    <row r="149" spans="1:1" x14ac:dyDescent="0.25">
      <c r="A149" s="2" t="s">
        <v>188</v>
      </c>
    </row>
    <row r="150" spans="1:1" x14ac:dyDescent="0.25">
      <c r="A150" s="2" t="s">
        <v>200</v>
      </c>
    </row>
    <row r="151" spans="1:1" x14ac:dyDescent="0.25">
      <c r="A151" s="3" t="s">
        <v>201</v>
      </c>
    </row>
    <row r="152" spans="1:1" x14ac:dyDescent="0.25">
      <c r="A152" s="18" t="str">
        <f>"          &lt;name&gt;"&amp;'Control-Sheet'!$H38&amp;"&lt;/name&gt;"</f>
        <v xml:space="preserve">          &lt;name&gt;llre_0_0_0_2_0_0&lt;/name&gt;</v>
      </c>
    </row>
    <row r="153" spans="1:1" x14ac:dyDescent="0.25">
      <c r="A153" s="18" t="str">
        <f>"          &lt;processing-element&gt;"&amp;'Control-Sheet'!$I38&amp;"&lt;/processing-element&gt;"</f>
        <v xml:space="preserve">          &lt;processing-element&gt;ru-pe.0&lt;/processing-element&gt;</v>
      </c>
    </row>
    <row r="154" spans="1:1" x14ac:dyDescent="0.25">
      <c r="A154" s="18" t="str">
        <f>"          &lt;rx-array-carrier&gt;"&amp;'Control-Sheet'!$J38&amp;"&lt;/rx-array-carrier&gt;"</f>
        <v xml:space="preserve">          &lt;rx-array-carrier&gt;rac_0_0_0_2&lt;/rx-array-carrier&gt;</v>
      </c>
    </row>
    <row r="155" spans="1:1" x14ac:dyDescent="0.25">
      <c r="A155" s="18" t="str">
        <f>"          &lt;low-level-rx-endpoint&gt;"&amp;'Control-Sheet'!$K38&amp;"&lt;/low-level-rx-endpoint&gt;"</f>
        <v xml:space="preserve">          &lt;low-level-rx-endpoint&gt;llre_0_0_0_2_0_0&lt;/low-level-rx-endpoint&gt;</v>
      </c>
    </row>
    <row r="156" spans="1:1" x14ac:dyDescent="0.25">
      <c r="A156" s="3" t="s">
        <v>202</v>
      </c>
    </row>
    <row r="157" spans="1:1" x14ac:dyDescent="0.25">
      <c r="A157" t="str">
        <f>_xlfn.IFS('Control-Sheet'!$A$25="OFF", 'Control-Sheet'!$K$6, TRUE, "")</f>
        <v/>
      </c>
    </row>
    <row r="158" spans="1:1" x14ac:dyDescent="0.25">
      <c r="A158" t="str">
        <f>_xlfn.IFS('Control-Sheet'!$A$26="OFF", 'Control-Sheet'!$K$5, TRUE, "")</f>
        <v/>
      </c>
    </row>
    <row r="159" spans="1:1" x14ac:dyDescent="0.25">
      <c r="A159" s="1" t="s">
        <v>194</v>
      </c>
    </row>
    <row r="160" spans="1:1" x14ac:dyDescent="0.25">
      <c r="A160" s="8" t="str">
        <f>"            &lt;name&gt;"&amp;'Control-Sheet'!$C39&amp;"&lt;/name&gt;"</f>
        <v xml:space="preserve">            &lt;name&gt;llre_0_0_1_2_0_0&lt;/name&gt;</v>
      </c>
    </row>
    <row r="161" spans="1:1" x14ac:dyDescent="0.25">
      <c r="A161" s="1" t="s">
        <v>167</v>
      </c>
    </row>
    <row r="162" spans="1:1" x14ac:dyDescent="0.25">
      <c r="A162" s="1" t="s">
        <v>168</v>
      </c>
    </row>
    <row r="163" spans="1:1" x14ac:dyDescent="0.25">
      <c r="A163" s="7" t="str">
        <f>_xlfn.IFS('Control-Sheet'!M39="exponent", 'Control-Sheet'!$G$5, 'Control-Sheet'!M39="BFP", 'Control-Sheet'!$G$6, TRUE, "")</f>
        <v/>
      </c>
    </row>
    <row r="164" spans="1:1" x14ac:dyDescent="0.25">
      <c r="A164" s="7" t="str">
        <f>"          &lt;iq-bitwidth&gt;"&amp;'Control-Sheet'!L39&amp;"&lt;/iq-bitwidth&gt;"</f>
        <v xml:space="preserve">          &lt;iq-bitwidth&gt;16&lt;/iq-bitwidth&gt;</v>
      </c>
    </row>
    <row r="165" spans="1:1" x14ac:dyDescent="0.25">
      <c r="A165" s="1" t="s">
        <v>169</v>
      </c>
    </row>
    <row r="166" spans="1:1" x14ac:dyDescent="0.25">
      <c r="A166" s="1" t="s">
        <v>170</v>
      </c>
    </row>
    <row r="167" spans="1:1" x14ac:dyDescent="0.25">
      <c r="A167" s="1" t="s">
        <v>171</v>
      </c>
    </row>
    <row r="168" spans="1:1" x14ac:dyDescent="0.25">
      <c r="A168" s="1" t="s">
        <v>172</v>
      </c>
    </row>
    <row r="169" spans="1:1" x14ac:dyDescent="0.25">
      <c r="A169" s="1" t="s">
        <v>173</v>
      </c>
    </row>
    <row r="170" spans="1:1" x14ac:dyDescent="0.25">
      <c r="A170" s="1" t="s">
        <v>174</v>
      </c>
    </row>
    <row r="171" spans="1:1" x14ac:dyDescent="0.25">
      <c r="A171" s="1" t="s">
        <v>175</v>
      </c>
    </row>
    <row r="172" spans="1:1" x14ac:dyDescent="0.25">
      <c r="A172" s="8" t="str">
        <f>"            &lt;scs&gt;"&amp;'Control-Sheet'!$D39&amp;"&lt;/scs&gt;"</f>
        <v xml:space="preserve">            &lt;scs&gt;KHZ_15&lt;/scs&gt;</v>
      </c>
    </row>
    <row r="173" spans="1:1" x14ac:dyDescent="0.25">
      <c r="A173" s="8" t="str">
        <f>"            &lt;number-of-prb&gt;"&amp;'Control-Sheet'!$E39&amp;"&lt;/number-of-prb&gt;"</f>
        <v xml:space="preserve">            &lt;number-of-prb&gt;106&lt;/number-of-prb&gt;</v>
      </c>
    </row>
    <row r="174" spans="1:1" x14ac:dyDescent="0.25">
      <c r="A174" s="1" t="s">
        <v>176</v>
      </c>
    </row>
    <row r="175" spans="1:1" x14ac:dyDescent="0.25">
      <c r="A175" s="1" t="s">
        <v>195</v>
      </c>
    </row>
    <row r="176" spans="1:1" x14ac:dyDescent="0.25">
      <c r="A176" s="8" t="str">
        <f>"            &lt;scs&gt;"&amp;'Control-Sheet'!$D39&amp;"&lt;/scs&gt;"</f>
        <v xml:space="preserve">            &lt;scs&gt;KHZ_15&lt;/scs&gt;</v>
      </c>
    </row>
    <row r="177" spans="1:1" x14ac:dyDescent="0.25">
      <c r="A177" s="8" t="str">
        <f>"            &lt;ul-fft-sampling-offset&gt;"&amp;'Control-Sheet'!$F39&amp;"&lt;/ul-fft-sampling-offset&gt;"</f>
        <v xml:space="preserve">            &lt;ul-fft-sampling-offset&gt;0&lt;/ul-fft-sampling-offset&gt;</v>
      </c>
    </row>
    <row r="178" spans="1:1" x14ac:dyDescent="0.25">
      <c r="A178" s="1" t="s">
        <v>196</v>
      </c>
    </row>
    <row r="179" spans="1:1" x14ac:dyDescent="0.25">
      <c r="A179" s="1" t="s">
        <v>177</v>
      </c>
    </row>
    <row r="180" spans="1:1" x14ac:dyDescent="0.25">
      <c r="A180" s="1" t="s">
        <v>178</v>
      </c>
    </row>
    <row r="181" spans="1:1" x14ac:dyDescent="0.25">
      <c r="A181" s="1" t="s">
        <v>179</v>
      </c>
    </row>
    <row r="182" spans="1:1" x14ac:dyDescent="0.25">
      <c r="A182" s="1" t="s">
        <v>180</v>
      </c>
    </row>
    <row r="183" spans="1:1" x14ac:dyDescent="0.25">
      <c r="A183" s="1" t="s">
        <v>181</v>
      </c>
    </row>
    <row r="184" spans="1:1" x14ac:dyDescent="0.25">
      <c r="A184" s="8" t="str">
        <f>"            &lt;eaxc-id&gt;"&amp;'Control-Sheet'!$G39&amp;"&lt;/eaxc-id&gt;"</f>
        <v xml:space="preserve">            &lt;eaxc-id&gt;21&lt;/eaxc-id&gt;</v>
      </c>
    </row>
    <row r="185" spans="1:1" x14ac:dyDescent="0.25">
      <c r="A185" s="1" t="s">
        <v>182</v>
      </c>
    </row>
    <row r="186" spans="1:1" x14ac:dyDescent="0.25">
      <c r="A186" s="1" t="s">
        <v>197</v>
      </c>
    </row>
    <row r="187" spans="1:1" x14ac:dyDescent="0.25">
      <c r="A187" s="2" t="s">
        <v>198</v>
      </c>
    </row>
    <row r="188" spans="1:1" x14ac:dyDescent="0.25">
      <c r="A188" s="16" t="str">
        <f>"          &lt;name&gt;"&amp;'Control-Sheet'!$N39&amp;"&lt;/name&gt;"</f>
        <v xml:space="preserve">          &lt;name&gt;rac_0_0_1_2&lt;/name&gt;</v>
      </c>
    </row>
    <row r="189" spans="1:1" x14ac:dyDescent="0.25">
      <c r="A189" s="2" t="s">
        <v>185</v>
      </c>
    </row>
    <row r="190" spans="1:1" x14ac:dyDescent="0.25">
      <c r="A190" s="16" t="str">
        <f>"          &lt;center-of-channel-bandwidth&gt;"&amp;'Control-Sheet'!$O39*10^6&amp;"&lt;/center-of-channel-bandwidth&gt;"</f>
        <v xml:space="preserve">          &lt;center-of-channel-bandwidth&gt;3445000000&lt;/center-of-channel-bandwidth&gt;</v>
      </c>
    </row>
    <row r="191" spans="1:1" x14ac:dyDescent="0.25">
      <c r="A191" s="16" t="str">
        <f>"          &lt;channel-bandwidth&gt;"&amp;'Control-Sheet'!$P39*10^6&amp;"&lt;/channel-bandwidth&gt;"</f>
        <v xml:space="preserve">          &lt;channel-bandwidth&gt;10000000&lt;/channel-bandwidth&gt;</v>
      </c>
    </row>
    <row r="192" spans="1:1" x14ac:dyDescent="0.25">
      <c r="A192" s="2" t="s">
        <v>186</v>
      </c>
    </row>
    <row r="193" spans="1:1" x14ac:dyDescent="0.25">
      <c r="A193" s="16" t="str">
        <f>"          &lt;type&gt;"&amp;'Control-Sheet'!$Q39&amp;"&lt;/type&gt;"</f>
        <v xml:space="preserve">          &lt;type&gt;NR&lt;/type&gt;</v>
      </c>
    </row>
    <row r="194" spans="1:1" x14ac:dyDescent="0.25">
      <c r="A194" s="16" t="str">
        <f>"          &lt;n-ta-offset&gt;"&amp;'Control-Sheet'!$R39&amp;"&lt;/n-ta-offset&gt;"</f>
        <v xml:space="preserve">          &lt;n-ta-offset&gt;25600&lt;/n-ta-offset&gt;</v>
      </c>
    </row>
    <row r="195" spans="1:1" x14ac:dyDescent="0.25">
      <c r="A195" s="16" t="str">
        <f>IF('Control-Sheet'!S39="", "", "          &lt;t-au-offset&gt;" &amp; 'Control-Sheet'!S39 &amp; "&lt;/t-au-offset&gt;")</f>
        <v/>
      </c>
    </row>
    <row r="196" spans="1:1" x14ac:dyDescent="0.25">
      <c r="A196" s="25" t="s">
        <v>199</v>
      </c>
    </row>
    <row r="197" spans="1:1" x14ac:dyDescent="0.25">
      <c r="A197" s="2" t="s">
        <v>187</v>
      </c>
    </row>
    <row r="198" spans="1:1" x14ac:dyDescent="0.25">
      <c r="A198" s="2" t="s">
        <v>188</v>
      </c>
    </row>
    <row r="199" spans="1:1" x14ac:dyDescent="0.25">
      <c r="A199" s="2" t="s">
        <v>200</v>
      </c>
    </row>
    <row r="200" spans="1:1" x14ac:dyDescent="0.25">
      <c r="A200" s="3" t="s">
        <v>201</v>
      </c>
    </row>
    <row r="201" spans="1:1" x14ac:dyDescent="0.25">
      <c r="A201" s="18" t="str">
        <f>"          &lt;name&gt;"&amp;'Control-Sheet'!$H39&amp;"&lt;/name&gt;"</f>
        <v xml:space="preserve">          &lt;name&gt;llre_0_0_1_2_0_0&lt;/name&gt;</v>
      </c>
    </row>
    <row r="202" spans="1:1" x14ac:dyDescent="0.25">
      <c r="A202" s="18" t="str">
        <f>"          &lt;processing-element&gt;"&amp;'Control-Sheet'!$I39&amp;"&lt;/processing-element&gt;"</f>
        <v xml:space="preserve">          &lt;processing-element&gt;ru-pe.0&lt;/processing-element&gt;</v>
      </c>
    </row>
    <row r="203" spans="1:1" x14ac:dyDescent="0.25">
      <c r="A203" s="18" t="str">
        <f>"          &lt;rx-array-carrier&gt;"&amp;'Control-Sheet'!$J39&amp;"&lt;/rx-array-carrier&gt;"</f>
        <v xml:space="preserve">          &lt;rx-array-carrier&gt;rac_0_0_1_2&lt;/rx-array-carrier&gt;</v>
      </c>
    </row>
    <row r="204" spans="1:1" x14ac:dyDescent="0.25">
      <c r="A204" s="18" t="str">
        <f>"          &lt;low-level-rx-endpoint&gt;"&amp;'Control-Sheet'!$K39&amp;"&lt;/low-level-rx-endpoint&gt;"</f>
        <v xml:space="preserve">          &lt;low-level-rx-endpoint&gt;llre_0_0_1_2_0_0&lt;/low-level-rx-endpoint&gt;</v>
      </c>
    </row>
    <row r="205" spans="1:1" x14ac:dyDescent="0.25">
      <c r="A205" s="3" t="s">
        <v>202</v>
      </c>
    </row>
    <row r="206" spans="1:1" x14ac:dyDescent="0.25">
      <c r="A206" t="str">
        <f>_xlfn.IFS('Control-Sheet'!$A$26="OFF", 'Control-Sheet'!$K$6, TRUE, "")</f>
        <v/>
      </c>
    </row>
    <row r="207" spans="1:1" x14ac:dyDescent="0.25">
      <c r="A207" t="str">
        <f>_xlfn.IFS('Control-Sheet'!$A$27="OFF", 'Control-Sheet'!$K$5, TRUE, "")</f>
        <v/>
      </c>
    </row>
    <row r="208" spans="1:1" x14ac:dyDescent="0.25">
      <c r="A208" s="1" t="s">
        <v>194</v>
      </c>
    </row>
    <row r="209" spans="1:1" x14ac:dyDescent="0.25">
      <c r="A209" s="8" t="str">
        <f>"            &lt;name&gt;"&amp;'Control-Sheet'!$C40&amp;"&lt;/name&gt;"</f>
        <v xml:space="preserve">            &lt;name&gt;llre_0_0_0_3_0_0&lt;/name&gt;</v>
      </c>
    </row>
    <row r="210" spans="1:1" x14ac:dyDescent="0.25">
      <c r="A210" s="1" t="s">
        <v>167</v>
      </c>
    </row>
    <row r="211" spans="1:1" x14ac:dyDescent="0.25">
      <c r="A211" s="1" t="s">
        <v>168</v>
      </c>
    </row>
    <row r="212" spans="1:1" x14ac:dyDescent="0.25">
      <c r="A212" s="7" t="str">
        <f>_xlfn.IFS('Control-Sheet'!M40="exponent", 'Control-Sheet'!$G$5, 'Control-Sheet'!M40="BFP", 'Control-Sheet'!$G$6, TRUE, "")</f>
        <v/>
      </c>
    </row>
    <row r="213" spans="1:1" x14ac:dyDescent="0.25">
      <c r="A213" s="7" t="str">
        <f>"          &lt;iq-bitwidth&gt;"&amp;'Control-Sheet'!L40&amp;"&lt;/iq-bitwidth&gt;"</f>
        <v xml:space="preserve">          &lt;iq-bitwidth&gt;16&lt;/iq-bitwidth&gt;</v>
      </c>
    </row>
    <row r="214" spans="1:1" x14ac:dyDescent="0.25">
      <c r="A214" s="1" t="s">
        <v>169</v>
      </c>
    </row>
    <row r="215" spans="1:1" x14ac:dyDescent="0.25">
      <c r="A215" s="1" t="s">
        <v>170</v>
      </c>
    </row>
    <row r="216" spans="1:1" x14ac:dyDescent="0.25">
      <c r="A216" s="1" t="s">
        <v>171</v>
      </c>
    </row>
    <row r="217" spans="1:1" x14ac:dyDescent="0.25">
      <c r="A217" s="1" t="s">
        <v>172</v>
      </c>
    </row>
    <row r="218" spans="1:1" x14ac:dyDescent="0.25">
      <c r="A218" s="1" t="s">
        <v>173</v>
      </c>
    </row>
    <row r="219" spans="1:1" x14ac:dyDescent="0.25">
      <c r="A219" s="1" t="s">
        <v>174</v>
      </c>
    </row>
    <row r="220" spans="1:1" x14ac:dyDescent="0.25">
      <c r="A220" s="1" t="s">
        <v>175</v>
      </c>
    </row>
    <row r="221" spans="1:1" x14ac:dyDescent="0.25">
      <c r="A221" s="8" t="str">
        <f>"            &lt;scs&gt;"&amp;'Control-Sheet'!$D40&amp;"&lt;/scs&gt;"</f>
        <v xml:space="preserve">            &lt;scs&gt;KHZ_15&lt;/scs&gt;</v>
      </c>
    </row>
    <row r="222" spans="1:1" x14ac:dyDescent="0.25">
      <c r="A222" s="8" t="str">
        <f>"            &lt;number-of-prb&gt;"&amp;'Control-Sheet'!$E40&amp;"&lt;/number-of-prb&gt;"</f>
        <v xml:space="preserve">            &lt;number-of-prb&gt;106&lt;/number-of-prb&gt;</v>
      </c>
    </row>
    <row r="223" spans="1:1" x14ac:dyDescent="0.25">
      <c r="A223" s="1" t="s">
        <v>176</v>
      </c>
    </row>
    <row r="224" spans="1:1" x14ac:dyDescent="0.25">
      <c r="A224" s="1" t="s">
        <v>195</v>
      </c>
    </row>
    <row r="225" spans="1:1" x14ac:dyDescent="0.25">
      <c r="A225" s="8" t="str">
        <f>"            &lt;scs&gt;"&amp;'Control-Sheet'!$D40&amp;"&lt;/scs&gt;"</f>
        <v xml:space="preserve">            &lt;scs&gt;KHZ_15&lt;/scs&gt;</v>
      </c>
    </row>
    <row r="226" spans="1:1" x14ac:dyDescent="0.25">
      <c r="A226" s="8" t="str">
        <f>"            &lt;ul-fft-sampling-offset&gt;"&amp;'Control-Sheet'!$F40&amp;"&lt;/ul-fft-sampling-offset&gt;"</f>
        <v xml:space="preserve">            &lt;ul-fft-sampling-offset&gt;0&lt;/ul-fft-sampling-offset&gt;</v>
      </c>
    </row>
    <row r="227" spans="1:1" x14ac:dyDescent="0.25">
      <c r="A227" s="1" t="s">
        <v>196</v>
      </c>
    </row>
    <row r="228" spans="1:1" x14ac:dyDescent="0.25">
      <c r="A228" s="1" t="s">
        <v>177</v>
      </c>
    </row>
    <row r="229" spans="1:1" x14ac:dyDescent="0.25">
      <c r="A229" s="1" t="s">
        <v>178</v>
      </c>
    </row>
    <row r="230" spans="1:1" x14ac:dyDescent="0.25">
      <c r="A230" s="1" t="s">
        <v>179</v>
      </c>
    </row>
    <row r="231" spans="1:1" x14ac:dyDescent="0.25">
      <c r="A231" s="1" t="s">
        <v>180</v>
      </c>
    </row>
    <row r="232" spans="1:1" x14ac:dyDescent="0.25">
      <c r="A232" s="1" t="s">
        <v>181</v>
      </c>
    </row>
    <row r="233" spans="1:1" x14ac:dyDescent="0.25">
      <c r="A233" s="8" t="str">
        <f>"            &lt;eaxc-id&gt;"&amp;'Control-Sheet'!$G40&amp;"&lt;/eaxc-id&gt;"</f>
        <v xml:space="preserve">            &lt;eaxc-id&gt;22&lt;/eaxc-id&gt;</v>
      </c>
    </row>
    <row r="234" spans="1:1" x14ac:dyDescent="0.25">
      <c r="A234" s="1" t="s">
        <v>182</v>
      </c>
    </row>
    <row r="235" spans="1:1" x14ac:dyDescent="0.25">
      <c r="A235" s="1" t="s">
        <v>197</v>
      </c>
    </row>
    <row r="236" spans="1:1" x14ac:dyDescent="0.25">
      <c r="A236" s="2" t="s">
        <v>198</v>
      </c>
    </row>
    <row r="237" spans="1:1" x14ac:dyDescent="0.25">
      <c r="A237" s="16" t="str">
        <f>"          &lt;name&gt;"&amp;'Control-Sheet'!$N40&amp;"&lt;/name&gt;"</f>
        <v xml:space="preserve">          &lt;name&gt;rac_0_0_0_3&lt;/name&gt;</v>
      </c>
    </row>
    <row r="238" spans="1:1" x14ac:dyDescent="0.25">
      <c r="A238" s="2" t="s">
        <v>185</v>
      </c>
    </row>
    <row r="239" spans="1:1" x14ac:dyDescent="0.25">
      <c r="A239" s="16" t="str">
        <f>"          &lt;center-of-channel-bandwidth&gt;"&amp;'Control-Sheet'!$O40*10^6&amp;"&lt;/center-of-channel-bandwidth&gt;"</f>
        <v xml:space="preserve">          &lt;center-of-channel-bandwidth&gt;3415000000&lt;/center-of-channel-bandwidth&gt;</v>
      </c>
    </row>
    <row r="240" spans="1:1" x14ac:dyDescent="0.25">
      <c r="A240" s="16" t="str">
        <f>"          &lt;channel-bandwidth&gt;"&amp;'Control-Sheet'!$P40*10^6&amp;"&lt;/channel-bandwidth&gt;"</f>
        <v xml:space="preserve">          &lt;channel-bandwidth&gt;10000000&lt;/channel-bandwidth&gt;</v>
      </c>
    </row>
    <row r="241" spans="1:1" x14ac:dyDescent="0.25">
      <c r="A241" s="2" t="s">
        <v>186</v>
      </c>
    </row>
    <row r="242" spans="1:1" x14ac:dyDescent="0.25">
      <c r="A242" s="16" t="str">
        <f>"          &lt;type&gt;"&amp;'Control-Sheet'!$Q40&amp;"&lt;/type&gt;"</f>
        <v xml:space="preserve">          &lt;type&gt;NR&lt;/type&gt;</v>
      </c>
    </row>
    <row r="243" spans="1:1" x14ac:dyDescent="0.25">
      <c r="A243" s="16" t="str">
        <f>"          &lt;n-ta-offset&gt;"&amp;'Control-Sheet'!$R40&amp;"&lt;/n-ta-offset&gt;"</f>
        <v xml:space="preserve">          &lt;n-ta-offset&gt;25600&lt;/n-ta-offset&gt;</v>
      </c>
    </row>
    <row r="244" spans="1:1" x14ac:dyDescent="0.25">
      <c r="A244" s="16" t="str">
        <f>IF('Control-Sheet'!S40="", "", "          &lt;t-au-offset&gt;" &amp; 'Control-Sheet'!S40 &amp; "&lt;/t-au-offset&gt;")</f>
        <v/>
      </c>
    </row>
    <row r="245" spans="1:1" x14ac:dyDescent="0.25">
      <c r="A245" s="25" t="s">
        <v>199</v>
      </c>
    </row>
    <row r="246" spans="1:1" x14ac:dyDescent="0.25">
      <c r="A246" s="2" t="s">
        <v>187</v>
      </c>
    </row>
    <row r="247" spans="1:1" x14ac:dyDescent="0.25">
      <c r="A247" s="2" t="s">
        <v>188</v>
      </c>
    </row>
    <row r="248" spans="1:1" x14ac:dyDescent="0.25">
      <c r="A248" s="2" t="s">
        <v>200</v>
      </c>
    </row>
    <row r="249" spans="1:1" x14ac:dyDescent="0.25">
      <c r="A249" s="3" t="s">
        <v>201</v>
      </c>
    </row>
    <row r="250" spans="1:1" x14ac:dyDescent="0.25">
      <c r="A250" s="18" t="str">
        <f>"          &lt;name&gt;"&amp;'Control-Sheet'!$H40&amp;"&lt;/name&gt;"</f>
        <v xml:space="preserve">          &lt;name&gt;llre_0_0_0_3_0_0&lt;/name&gt;</v>
      </c>
    </row>
    <row r="251" spans="1:1" x14ac:dyDescent="0.25">
      <c r="A251" s="18" t="str">
        <f>"          &lt;processing-element&gt;"&amp;'Control-Sheet'!$I40&amp;"&lt;/processing-element&gt;"</f>
        <v xml:space="preserve">          &lt;processing-element&gt;ru-pe.0&lt;/processing-element&gt;</v>
      </c>
    </row>
    <row r="252" spans="1:1" x14ac:dyDescent="0.25">
      <c r="A252" s="18" t="str">
        <f>"          &lt;rx-array-carrier&gt;"&amp;'Control-Sheet'!$J40&amp;"&lt;/rx-array-carrier&gt;"</f>
        <v xml:space="preserve">          &lt;rx-array-carrier&gt;rac_0_0_0_3&lt;/rx-array-carrier&gt;</v>
      </c>
    </row>
    <row r="253" spans="1:1" x14ac:dyDescent="0.25">
      <c r="A253" s="18" t="str">
        <f>"          &lt;low-level-rx-endpoint&gt;"&amp;'Control-Sheet'!$K40&amp;"&lt;/low-level-rx-endpoint&gt;"</f>
        <v xml:space="preserve">          &lt;low-level-rx-endpoint&gt;llre_0_0_0_3_0_0&lt;/low-level-rx-endpoint&gt;</v>
      </c>
    </row>
    <row r="254" spans="1:1" x14ac:dyDescent="0.25">
      <c r="A254" s="3" t="s">
        <v>202</v>
      </c>
    </row>
    <row r="255" spans="1:1" x14ac:dyDescent="0.25">
      <c r="A255" t="str">
        <f>_xlfn.IFS('Control-Sheet'!$A$27="OFF", 'Control-Sheet'!$K$6, TRUE, "")</f>
        <v/>
      </c>
    </row>
    <row r="256" spans="1:1" x14ac:dyDescent="0.25">
      <c r="A256" t="str">
        <f>_xlfn.IFS('Control-Sheet'!$A$28="OFF", 'Control-Sheet'!$K$5, TRUE, "")</f>
        <v/>
      </c>
    </row>
    <row r="257" spans="1:1" x14ac:dyDescent="0.25">
      <c r="A257" s="1" t="s">
        <v>194</v>
      </c>
    </row>
    <row r="258" spans="1:1" x14ac:dyDescent="0.25">
      <c r="A258" s="8" t="str">
        <f>"            &lt;name&gt;"&amp;'Control-Sheet'!$C41&amp;"&lt;/name&gt;"</f>
        <v xml:space="preserve">            &lt;name&gt;llre_0_0_1_3_0_0&lt;/name&gt;</v>
      </c>
    </row>
    <row r="259" spans="1:1" x14ac:dyDescent="0.25">
      <c r="A259" s="1" t="s">
        <v>167</v>
      </c>
    </row>
    <row r="260" spans="1:1" x14ac:dyDescent="0.25">
      <c r="A260" s="1" t="s">
        <v>168</v>
      </c>
    </row>
    <row r="261" spans="1:1" x14ac:dyDescent="0.25">
      <c r="A261" s="7" t="str">
        <f>_xlfn.IFS('Control-Sheet'!M41="exponent", 'Control-Sheet'!$G$5, 'Control-Sheet'!M41="BFP", 'Control-Sheet'!$G$6, TRUE, "")</f>
        <v/>
      </c>
    </row>
    <row r="262" spans="1:1" x14ac:dyDescent="0.25">
      <c r="A262" s="7" t="str">
        <f>"          &lt;iq-bitwidth&gt;"&amp;'Control-Sheet'!L41&amp;"&lt;/iq-bitwidth&gt;"</f>
        <v xml:space="preserve">          &lt;iq-bitwidth&gt;16&lt;/iq-bitwidth&gt;</v>
      </c>
    </row>
    <row r="263" spans="1:1" x14ac:dyDescent="0.25">
      <c r="A263" s="1" t="s">
        <v>169</v>
      </c>
    </row>
    <row r="264" spans="1:1" x14ac:dyDescent="0.25">
      <c r="A264" s="1" t="s">
        <v>170</v>
      </c>
    </row>
    <row r="265" spans="1:1" x14ac:dyDescent="0.25">
      <c r="A265" s="1" t="s">
        <v>171</v>
      </c>
    </row>
    <row r="266" spans="1:1" x14ac:dyDescent="0.25">
      <c r="A266" s="1" t="s">
        <v>172</v>
      </c>
    </row>
    <row r="267" spans="1:1" x14ac:dyDescent="0.25">
      <c r="A267" s="1" t="s">
        <v>173</v>
      </c>
    </row>
    <row r="268" spans="1:1" x14ac:dyDescent="0.25">
      <c r="A268" s="1" t="s">
        <v>174</v>
      </c>
    </row>
    <row r="269" spans="1:1" x14ac:dyDescent="0.25">
      <c r="A269" s="1" t="s">
        <v>175</v>
      </c>
    </row>
    <row r="270" spans="1:1" x14ac:dyDescent="0.25">
      <c r="A270" s="8" t="str">
        <f>"            &lt;scs&gt;"&amp;'Control-Sheet'!$D41&amp;"&lt;/scs&gt;"</f>
        <v xml:space="preserve">            &lt;scs&gt;KHZ_15&lt;/scs&gt;</v>
      </c>
    </row>
    <row r="271" spans="1:1" x14ac:dyDescent="0.25">
      <c r="A271" s="8" t="str">
        <f>"            &lt;number-of-prb&gt;"&amp;'Control-Sheet'!$E41&amp;"&lt;/number-of-prb&gt;"</f>
        <v xml:space="preserve">            &lt;number-of-prb&gt;106&lt;/number-of-prb&gt;</v>
      </c>
    </row>
    <row r="272" spans="1:1" x14ac:dyDescent="0.25">
      <c r="A272" s="1" t="s">
        <v>176</v>
      </c>
    </row>
    <row r="273" spans="1:1" x14ac:dyDescent="0.25">
      <c r="A273" s="1" t="s">
        <v>195</v>
      </c>
    </row>
    <row r="274" spans="1:1" x14ac:dyDescent="0.25">
      <c r="A274" s="8" t="str">
        <f>"            &lt;scs&gt;"&amp;'Control-Sheet'!$D41&amp;"&lt;/scs&gt;"</f>
        <v xml:space="preserve">            &lt;scs&gt;KHZ_15&lt;/scs&gt;</v>
      </c>
    </row>
    <row r="275" spans="1:1" x14ac:dyDescent="0.25">
      <c r="A275" s="8" t="str">
        <f>"            &lt;ul-fft-sampling-offset&gt;"&amp;'Control-Sheet'!$F41&amp;"&lt;/ul-fft-sampling-offset&gt;"</f>
        <v xml:space="preserve">            &lt;ul-fft-sampling-offset&gt;0&lt;/ul-fft-sampling-offset&gt;</v>
      </c>
    </row>
    <row r="276" spans="1:1" x14ac:dyDescent="0.25">
      <c r="A276" s="1" t="s">
        <v>196</v>
      </c>
    </row>
    <row r="277" spans="1:1" x14ac:dyDescent="0.25">
      <c r="A277" s="1" t="s">
        <v>177</v>
      </c>
    </row>
    <row r="278" spans="1:1" x14ac:dyDescent="0.25">
      <c r="A278" s="1" t="s">
        <v>178</v>
      </c>
    </row>
    <row r="279" spans="1:1" x14ac:dyDescent="0.25">
      <c r="A279" s="1" t="s">
        <v>179</v>
      </c>
    </row>
    <row r="280" spans="1:1" x14ac:dyDescent="0.25">
      <c r="A280" s="1" t="s">
        <v>180</v>
      </c>
    </row>
    <row r="281" spans="1:1" x14ac:dyDescent="0.25">
      <c r="A281" s="1" t="s">
        <v>181</v>
      </c>
    </row>
    <row r="282" spans="1:1" x14ac:dyDescent="0.25">
      <c r="A282" s="8" t="str">
        <f>"            &lt;eaxc-id&gt;"&amp;'Control-Sheet'!$G41&amp;"&lt;/eaxc-id&gt;"</f>
        <v xml:space="preserve">            &lt;eaxc-id&gt;23&lt;/eaxc-id&gt;</v>
      </c>
    </row>
    <row r="283" spans="1:1" x14ac:dyDescent="0.25">
      <c r="A283" s="1" t="s">
        <v>182</v>
      </c>
    </row>
    <row r="284" spans="1:1" x14ac:dyDescent="0.25">
      <c r="A284" s="1" t="s">
        <v>197</v>
      </c>
    </row>
    <row r="285" spans="1:1" x14ac:dyDescent="0.25">
      <c r="A285" s="2" t="s">
        <v>198</v>
      </c>
    </row>
    <row r="286" spans="1:1" x14ac:dyDescent="0.25">
      <c r="A286" s="16" t="str">
        <f>"          &lt;name&gt;"&amp;'Control-Sheet'!$N41&amp;"&lt;/name&gt;"</f>
        <v xml:space="preserve">          &lt;name&gt;rac_0_0_1_3&lt;/name&gt;</v>
      </c>
    </row>
    <row r="287" spans="1:1" x14ac:dyDescent="0.25">
      <c r="A287" s="2" t="s">
        <v>185</v>
      </c>
    </row>
    <row r="288" spans="1:1" x14ac:dyDescent="0.25">
      <c r="A288" s="16" t="str">
        <f>"          &lt;center-of-channel-bandwidth&gt;"&amp;'Control-Sheet'!$O41*10^6&amp;"&lt;/center-of-channel-bandwidth&gt;"</f>
        <v xml:space="preserve">          &lt;center-of-channel-bandwidth&gt;3445000000&lt;/center-of-channel-bandwidth&gt;</v>
      </c>
    </row>
    <row r="289" spans="1:1" x14ac:dyDescent="0.25">
      <c r="A289" s="16" t="str">
        <f>"          &lt;channel-bandwidth&gt;"&amp;'Control-Sheet'!$P41*10^6&amp;"&lt;/channel-bandwidth&gt;"</f>
        <v xml:space="preserve">          &lt;channel-bandwidth&gt;10000000&lt;/channel-bandwidth&gt;</v>
      </c>
    </row>
    <row r="290" spans="1:1" x14ac:dyDescent="0.25">
      <c r="A290" s="2" t="s">
        <v>186</v>
      </c>
    </row>
    <row r="291" spans="1:1" x14ac:dyDescent="0.25">
      <c r="A291" s="16" t="str">
        <f>"          &lt;type&gt;"&amp;'Control-Sheet'!$Q41&amp;"&lt;/type&gt;"</f>
        <v xml:space="preserve">          &lt;type&gt;NR&lt;/type&gt;</v>
      </c>
    </row>
    <row r="292" spans="1:1" x14ac:dyDescent="0.25">
      <c r="A292" s="16" t="str">
        <f>"          &lt;n-ta-offset&gt;"&amp;'Control-Sheet'!$R41&amp;"&lt;/n-ta-offset&gt;"</f>
        <v xml:space="preserve">          &lt;n-ta-offset&gt;25600&lt;/n-ta-offset&gt;</v>
      </c>
    </row>
    <row r="293" spans="1:1" x14ac:dyDescent="0.25">
      <c r="A293" s="16" t="str">
        <f>IF('Control-Sheet'!S41="", "", "          &lt;t-au-offset&gt;" &amp; 'Control-Sheet'!S41 &amp; "&lt;/t-au-offset&gt;")</f>
        <v/>
      </c>
    </row>
    <row r="294" spans="1:1" x14ac:dyDescent="0.25">
      <c r="A294" s="25" t="s">
        <v>199</v>
      </c>
    </row>
    <row r="295" spans="1:1" x14ac:dyDescent="0.25">
      <c r="A295" s="2" t="s">
        <v>187</v>
      </c>
    </row>
    <row r="296" spans="1:1" x14ac:dyDescent="0.25">
      <c r="A296" s="2" t="s">
        <v>188</v>
      </c>
    </row>
    <row r="297" spans="1:1" x14ac:dyDescent="0.25">
      <c r="A297" s="2" t="s">
        <v>200</v>
      </c>
    </row>
    <row r="298" spans="1:1" x14ac:dyDescent="0.25">
      <c r="A298" s="3" t="s">
        <v>201</v>
      </c>
    </row>
    <row r="299" spans="1:1" x14ac:dyDescent="0.25">
      <c r="A299" s="18" t="str">
        <f>"          &lt;name&gt;"&amp;'Control-Sheet'!$H41&amp;"&lt;/name&gt;"</f>
        <v xml:space="preserve">          &lt;name&gt;llre_0_0_1_3_0_0&lt;/name&gt;</v>
      </c>
    </row>
    <row r="300" spans="1:1" x14ac:dyDescent="0.25">
      <c r="A300" s="18" t="str">
        <f>"          &lt;processing-element&gt;"&amp;'Control-Sheet'!$I41&amp;"&lt;/processing-element&gt;"</f>
        <v xml:space="preserve">          &lt;processing-element&gt;ru-pe.0&lt;/processing-element&gt;</v>
      </c>
    </row>
    <row r="301" spans="1:1" x14ac:dyDescent="0.25">
      <c r="A301" s="18" t="str">
        <f>"          &lt;rx-array-carrier&gt;"&amp;'Control-Sheet'!$J41&amp;"&lt;/rx-array-carrier&gt;"</f>
        <v xml:space="preserve">          &lt;rx-array-carrier&gt;rac_0_0_1_3&lt;/rx-array-carrier&gt;</v>
      </c>
    </row>
    <row r="302" spans="1:1" x14ac:dyDescent="0.25">
      <c r="A302" s="18" t="str">
        <f>"          &lt;low-level-rx-endpoint&gt;"&amp;'Control-Sheet'!$K41&amp;"&lt;/low-level-rx-endpoint&gt;"</f>
        <v xml:space="preserve">          &lt;low-level-rx-endpoint&gt;llre_0_0_1_3_0_0&lt;/low-level-rx-endpoint&gt;</v>
      </c>
    </row>
    <row r="303" spans="1:1" x14ac:dyDescent="0.25">
      <c r="A303" s="3" t="s">
        <v>202</v>
      </c>
    </row>
    <row r="304" spans="1:1" x14ac:dyDescent="0.25">
      <c r="A304" t="str">
        <f>_xlfn.IFS('Control-Sheet'!$A$28="OFF", 'Control-Sheet'!$K$6, TRUE, "")</f>
        <v/>
      </c>
    </row>
    <row r="305" spans="1:1" x14ac:dyDescent="0.25">
      <c r="A305" t="str">
        <f>_xlfn.IFS('Control-Sheet'!$A$29="OFF", 'Control-Sheet'!$K$5, TRUE, "")</f>
        <v/>
      </c>
    </row>
    <row r="306" spans="1:1" x14ac:dyDescent="0.25">
      <c r="A306" s="1" t="s">
        <v>194</v>
      </c>
    </row>
    <row r="307" spans="1:1" x14ac:dyDescent="0.25">
      <c r="A307" s="8" t="str">
        <f>"            &lt;name&gt;"&amp;'Control-Sheet'!$C42&amp;"&lt;/name&gt;"</f>
        <v xml:space="preserve">            &lt;name&gt;llre_0_0_0_4_0_0&lt;/name&gt;</v>
      </c>
    </row>
    <row r="308" spans="1:1" x14ac:dyDescent="0.25">
      <c r="A308" s="1" t="s">
        <v>167</v>
      </c>
    </row>
    <row r="309" spans="1:1" x14ac:dyDescent="0.25">
      <c r="A309" s="1" t="s">
        <v>168</v>
      </c>
    </row>
    <row r="310" spans="1:1" x14ac:dyDescent="0.25">
      <c r="A310" s="7" t="str">
        <f>_xlfn.IFS('Control-Sheet'!M42="exponent", 'Control-Sheet'!$G$5, 'Control-Sheet'!M42="BFP", 'Control-Sheet'!$G$6, TRUE, "")</f>
        <v/>
      </c>
    </row>
    <row r="311" spans="1:1" x14ac:dyDescent="0.25">
      <c r="A311" s="7" t="str">
        <f>"          &lt;iq-bitwidth&gt;"&amp;'Control-Sheet'!L42&amp;"&lt;/iq-bitwidth&gt;"</f>
        <v xml:space="preserve">          &lt;iq-bitwidth&gt;16&lt;/iq-bitwidth&gt;</v>
      </c>
    </row>
    <row r="312" spans="1:1" x14ac:dyDescent="0.25">
      <c r="A312" s="1" t="s">
        <v>169</v>
      </c>
    </row>
    <row r="313" spans="1:1" x14ac:dyDescent="0.25">
      <c r="A313" s="1" t="s">
        <v>170</v>
      </c>
    </row>
    <row r="314" spans="1:1" x14ac:dyDescent="0.25">
      <c r="A314" s="1" t="s">
        <v>171</v>
      </c>
    </row>
    <row r="315" spans="1:1" x14ac:dyDescent="0.25">
      <c r="A315" s="1" t="s">
        <v>172</v>
      </c>
    </row>
    <row r="316" spans="1:1" x14ac:dyDescent="0.25">
      <c r="A316" s="1" t="s">
        <v>173</v>
      </c>
    </row>
    <row r="317" spans="1:1" x14ac:dyDescent="0.25">
      <c r="A317" s="1" t="s">
        <v>174</v>
      </c>
    </row>
    <row r="318" spans="1:1" x14ac:dyDescent="0.25">
      <c r="A318" s="1" t="s">
        <v>175</v>
      </c>
    </row>
    <row r="319" spans="1:1" x14ac:dyDescent="0.25">
      <c r="A319" s="8" t="str">
        <f>"            &lt;scs&gt;"&amp;'Control-Sheet'!$D42&amp;"&lt;/scs&gt;"</f>
        <v xml:space="preserve">            &lt;scs&gt;KHZ_15&lt;/scs&gt;</v>
      </c>
    </row>
    <row r="320" spans="1:1" x14ac:dyDescent="0.25">
      <c r="A320" s="8" t="str">
        <f>"            &lt;number-of-prb&gt;"&amp;'Control-Sheet'!$E42&amp;"&lt;/number-of-prb&gt;"</f>
        <v xml:space="preserve">            &lt;number-of-prb&gt;106&lt;/number-of-prb&gt;</v>
      </c>
    </row>
    <row r="321" spans="1:1" x14ac:dyDescent="0.25">
      <c r="A321" s="1" t="s">
        <v>176</v>
      </c>
    </row>
    <row r="322" spans="1:1" x14ac:dyDescent="0.25">
      <c r="A322" s="1" t="s">
        <v>195</v>
      </c>
    </row>
    <row r="323" spans="1:1" x14ac:dyDescent="0.25">
      <c r="A323" s="8" t="str">
        <f>"            &lt;scs&gt;"&amp;'Control-Sheet'!$D42&amp;"&lt;/scs&gt;"</f>
        <v xml:space="preserve">            &lt;scs&gt;KHZ_15&lt;/scs&gt;</v>
      </c>
    </row>
    <row r="324" spans="1:1" x14ac:dyDescent="0.25">
      <c r="A324" s="8" t="str">
        <f>"            &lt;ul-fft-sampling-offset&gt;"&amp;'Control-Sheet'!$F42&amp;"&lt;/ul-fft-sampling-offset&gt;"</f>
        <v xml:space="preserve">            &lt;ul-fft-sampling-offset&gt;0&lt;/ul-fft-sampling-offset&gt;</v>
      </c>
    </row>
    <row r="325" spans="1:1" x14ac:dyDescent="0.25">
      <c r="A325" s="1" t="s">
        <v>196</v>
      </c>
    </row>
    <row r="326" spans="1:1" x14ac:dyDescent="0.25">
      <c r="A326" s="1" t="s">
        <v>177</v>
      </c>
    </row>
    <row r="327" spans="1:1" x14ac:dyDescent="0.25">
      <c r="A327" s="1" t="s">
        <v>178</v>
      </c>
    </row>
    <row r="328" spans="1:1" x14ac:dyDescent="0.25">
      <c r="A328" s="1" t="s">
        <v>179</v>
      </c>
    </row>
    <row r="329" spans="1:1" x14ac:dyDescent="0.25">
      <c r="A329" s="1" t="s">
        <v>180</v>
      </c>
    </row>
    <row r="330" spans="1:1" x14ac:dyDescent="0.25">
      <c r="A330" s="1" t="s">
        <v>181</v>
      </c>
    </row>
    <row r="331" spans="1:1" x14ac:dyDescent="0.25">
      <c r="A331" s="8" t="str">
        <f>"            &lt;eaxc-id&gt;"&amp;'Control-Sheet'!$G42&amp;"&lt;/eaxc-id&gt;"</f>
        <v xml:space="preserve">            &lt;eaxc-id&gt;24&lt;/eaxc-id&gt;</v>
      </c>
    </row>
    <row r="332" spans="1:1" x14ac:dyDescent="0.25">
      <c r="A332" s="1" t="s">
        <v>182</v>
      </c>
    </row>
    <row r="333" spans="1:1" x14ac:dyDescent="0.25">
      <c r="A333" s="1" t="s">
        <v>197</v>
      </c>
    </row>
    <row r="334" spans="1:1" x14ac:dyDescent="0.25">
      <c r="A334" s="2" t="s">
        <v>198</v>
      </c>
    </row>
    <row r="335" spans="1:1" x14ac:dyDescent="0.25">
      <c r="A335" s="16" t="str">
        <f>"          &lt;name&gt;"&amp;'Control-Sheet'!$N42&amp;"&lt;/name&gt;"</f>
        <v xml:space="preserve">          &lt;name&gt;rac_0_0_0_4&lt;/name&gt;</v>
      </c>
    </row>
    <row r="336" spans="1:1" x14ac:dyDescent="0.25">
      <c r="A336" s="2" t="s">
        <v>185</v>
      </c>
    </row>
    <row r="337" spans="1:1" x14ac:dyDescent="0.25">
      <c r="A337" s="16" t="str">
        <f>"          &lt;center-of-channel-bandwidth&gt;"&amp;'Control-Sheet'!$O42*10^6&amp;"&lt;/center-of-channel-bandwidth&gt;"</f>
        <v xml:space="preserve">          &lt;center-of-channel-bandwidth&gt;3415000000&lt;/center-of-channel-bandwidth&gt;</v>
      </c>
    </row>
    <row r="338" spans="1:1" x14ac:dyDescent="0.25">
      <c r="A338" s="16" t="str">
        <f>"          &lt;channel-bandwidth&gt;"&amp;'Control-Sheet'!$P42*10^6&amp;"&lt;/channel-bandwidth&gt;"</f>
        <v xml:space="preserve">          &lt;channel-bandwidth&gt;10000000&lt;/channel-bandwidth&gt;</v>
      </c>
    </row>
    <row r="339" spans="1:1" x14ac:dyDescent="0.25">
      <c r="A339" s="2" t="s">
        <v>186</v>
      </c>
    </row>
    <row r="340" spans="1:1" x14ac:dyDescent="0.25">
      <c r="A340" s="16" t="str">
        <f>"          &lt;type&gt;"&amp;'Control-Sheet'!$Q42&amp;"&lt;/type&gt;"</f>
        <v xml:space="preserve">          &lt;type&gt;NR&lt;/type&gt;</v>
      </c>
    </row>
    <row r="341" spans="1:1" x14ac:dyDescent="0.25">
      <c r="A341" s="16" t="str">
        <f>"          &lt;n-ta-offset&gt;"&amp;'Control-Sheet'!$R42&amp;"&lt;/n-ta-offset&gt;"</f>
        <v xml:space="preserve">          &lt;n-ta-offset&gt;25600&lt;/n-ta-offset&gt;</v>
      </c>
    </row>
    <row r="342" spans="1:1" x14ac:dyDescent="0.25">
      <c r="A342" s="16" t="str">
        <f>IF('Control-Sheet'!S42="", "", "          &lt;t-au-offset&gt;" &amp; 'Control-Sheet'!S42 &amp; "&lt;/t-au-offset&gt;")</f>
        <v/>
      </c>
    </row>
    <row r="343" spans="1:1" x14ac:dyDescent="0.25">
      <c r="A343" s="25" t="s">
        <v>199</v>
      </c>
    </row>
    <row r="344" spans="1:1" x14ac:dyDescent="0.25">
      <c r="A344" s="2" t="s">
        <v>187</v>
      </c>
    </row>
    <row r="345" spans="1:1" x14ac:dyDescent="0.25">
      <c r="A345" s="2" t="s">
        <v>188</v>
      </c>
    </row>
    <row r="346" spans="1:1" x14ac:dyDescent="0.25">
      <c r="A346" s="2" t="s">
        <v>200</v>
      </c>
    </row>
    <row r="347" spans="1:1" x14ac:dyDescent="0.25">
      <c r="A347" s="3" t="s">
        <v>201</v>
      </c>
    </row>
    <row r="348" spans="1:1" x14ac:dyDescent="0.25">
      <c r="A348" s="18" t="str">
        <f>"          &lt;name&gt;"&amp;'Control-Sheet'!$H42&amp;"&lt;/name&gt;"</f>
        <v xml:space="preserve">          &lt;name&gt;llre_0_0_0_4_0_0&lt;/name&gt;</v>
      </c>
    </row>
    <row r="349" spans="1:1" x14ac:dyDescent="0.25">
      <c r="A349" s="18" t="str">
        <f>"          &lt;processing-element&gt;"&amp;'Control-Sheet'!$I42&amp;"&lt;/processing-element&gt;"</f>
        <v xml:space="preserve">          &lt;processing-element&gt;ru-pe.0&lt;/processing-element&gt;</v>
      </c>
    </row>
    <row r="350" spans="1:1" x14ac:dyDescent="0.25">
      <c r="A350" s="18" t="str">
        <f>"          &lt;rx-array-carrier&gt;"&amp;'Control-Sheet'!$J42&amp;"&lt;/rx-array-carrier&gt;"</f>
        <v xml:space="preserve">          &lt;rx-array-carrier&gt;rac_0_0_0_4&lt;/rx-array-carrier&gt;</v>
      </c>
    </row>
    <row r="351" spans="1:1" x14ac:dyDescent="0.25">
      <c r="A351" s="18" t="str">
        <f>"          &lt;low-level-rx-endpoint&gt;"&amp;'Control-Sheet'!$K42&amp;"&lt;/low-level-rx-endpoint&gt;"</f>
        <v xml:space="preserve">          &lt;low-level-rx-endpoint&gt;llre_0_0_0_4_0_0&lt;/low-level-rx-endpoint&gt;</v>
      </c>
    </row>
    <row r="352" spans="1:1" x14ac:dyDescent="0.25">
      <c r="A352" s="3" t="s">
        <v>202</v>
      </c>
    </row>
    <row r="353" spans="1:1" x14ac:dyDescent="0.25">
      <c r="A353" t="str">
        <f>_xlfn.IFS('Control-Sheet'!$A$29="OFF", 'Control-Sheet'!$K$6, TRUE, "")</f>
        <v/>
      </c>
    </row>
    <row r="354" spans="1:1" x14ac:dyDescent="0.25">
      <c r="A354" t="str">
        <f>_xlfn.IFS('Control-Sheet'!$A$30="OFF", 'Control-Sheet'!$K$5, TRUE, "")</f>
        <v/>
      </c>
    </row>
    <row r="355" spans="1:1" x14ac:dyDescent="0.25">
      <c r="A355" s="1" t="s">
        <v>194</v>
      </c>
    </row>
    <row r="356" spans="1:1" x14ac:dyDescent="0.25">
      <c r="A356" s="8" t="str">
        <f>"            &lt;name&gt;"&amp;'Control-Sheet'!$C43&amp;"&lt;/name&gt;"</f>
        <v xml:space="preserve">            &lt;name&gt;llre_0_0_1_4_0_0&lt;/name&gt;</v>
      </c>
    </row>
    <row r="357" spans="1:1" x14ac:dyDescent="0.25">
      <c r="A357" s="1" t="s">
        <v>167</v>
      </c>
    </row>
    <row r="358" spans="1:1" x14ac:dyDescent="0.25">
      <c r="A358" s="1" t="s">
        <v>168</v>
      </c>
    </row>
    <row r="359" spans="1:1" x14ac:dyDescent="0.25">
      <c r="A359" s="7" t="str">
        <f>_xlfn.IFS('Control-Sheet'!M43="exponent", 'Control-Sheet'!$G$5, 'Control-Sheet'!M43="BFP", 'Control-Sheet'!$G$6, TRUE, "")</f>
        <v/>
      </c>
    </row>
    <row r="360" spans="1:1" x14ac:dyDescent="0.25">
      <c r="A360" s="7" t="str">
        <f>"          &lt;iq-bitwidth&gt;"&amp;'Control-Sheet'!L43&amp;"&lt;/iq-bitwidth&gt;"</f>
        <v xml:space="preserve">          &lt;iq-bitwidth&gt;16&lt;/iq-bitwidth&gt;</v>
      </c>
    </row>
    <row r="361" spans="1:1" x14ac:dyDescent="0.25">
      <c r="A361" s="1" t="s">
        <v>169</v>
      </c>
    </row>
    <row r="362" spans="1:1" x14ac:dyDescent="0.25">
      <c r="A362" s="1" t="s">
        <v>170</v>
      </c>
    </row>
    <row r="363" spans="1:1" x14ac:dyDescent="0.25">
      <c r="A363" s="1" t="s">
        <v>171</v>
      </c>
    </row>
    <row r="364" spans="1:1" x14ac:dyDescent="0.25">
      <c r="A364" s="1" t="s">
        <v>172</v>
      </c>
    </row>
    <row r="365" spans="1:1" x14ac:dyDescent="0.25">
      <c r="A365" s="1" t="s">
        <v>173</v>
      </c>
    </row>
    <row r="366" spans="1:1" x14ac:dyDescent="0.25">
      <c r="A366" s="1" t="s">
        <v>174</v>
      </c>
    </row>
    <row r="367" spans="1:1" x14ac:dyDescent="0.25">
      <c r="A367" s="1" t="s">
        <v>175</v>
      </c>
    </row>
    <row r="368" spans="1:1" x14ac:dyDescent="0.25">
      <c r="A368" s="8" t="str">
        <f>"            &lt;scs&gt;"&amp;'Control-Sheet'!$D43&amp;"&lt;/scs&gt;"</f>
        <v xml:space="preserve">            &lt;scs&gt;KHZ_15&lt;/scs&gt;</v>
      </c>
    </row>
    <row r="369" spans="1:1" x14ac:dyDescent="0.25">
      <c r="A369" s="8" t="str">
        <f>"            &lt;number-of-prb&gt;"&amp;'Control-Sheet'!$E43&amp;"&lt;/number-of-prb&gt;"</f>
        <v xml:space="preserve">            &lt;number-of-prb&gt;106&lt;/number-of-prb&gt;</v>
      </c>
    </row>
    <row r="370" spans="1:1" x14ac:dyDescent="0.25">
      <c r="A370" s="1" t="s">
        <v>176</v>
      </c>
    </row>
    <row r="371" spans="1:1" x14ac:dyDescent="0.25">
      <c r="A371" s="1" t="s">
        <v>195</v>
      </c>
    </row>
    <row r="372" spans="1:1" x14ac:dyDescent="0.25">
      <c r="A372" s="8" t="str">
        <f>"            &lt;scs&gt;"&amp;'Control-Sheet'!$D43&amp;"&lt;/scs&gt;"</f>
        <v xml:space="preserve">            &lt;scs&gt;KHZ_15&lt;/scs&gt;</v>
      </c>
    </row>
    <row r="373" spans="1:1" x14ac:dyDescent="0.25">
      <c r="A373" s="8" t="str">
        <f>"            &lt;ul-fft-sampling-offset&gt;"&amp;'Control-Sheet'!$F43&amp;"&lt;/ul-fft-sampling-offset&gt;"</f>
        <v xml:space="preserve">            &lt;ul-fft-sampling-offset&gt;0&lt;/ul-fft-sampling-offset&gt;</v>
      </c>
    </row>
    <row r="374" spans="1:1" x14ac:dyDescent="0.25">
      <c r="A374" s="1" t="s">
        <v>196</v>
      </c>
    </row>
    <row r="375" spans="1:1" x14ac:dyDescent="0.25">
      <c r="A375" s="1" t="s">
        <v>177</v>
      </c>
    </row>
    <row r="376" spans="1:1" x14ac:dyDescent="0.25">
      <c r="A376" s="1" t="s">
        <v>178</v>
      </c>
    </row>
    <row r="377" spans="1:1" x14ac:dyDescent="0.25">
      <c r="A377" s="1" t="s">
        <v>179</v>
      </c>
    </row>
    <row r="378" spans="1:1" x14ac:dyDescent="0.25">
      <c r="A378" s="1" t="s">
        <v>180</v>
      </c>
    </row>
    <row r="379" spans="1:1" x14ac:dyDescent="0.25">
      <c r="A379" s="1" t="s">
        <v>181</v>
      </c>
    </row>
    <row r="380" spans="1:1" x14ac:dyDescent="0.25">
      <c r="A380" s="8" t="str">
        <f>"            &lt;eaxc-id&gt;"&amp;'Control-Sheet'!$G43&amp;"&lt;/eaxc-id&gt;"</f>
        <v xml:space="preserve">            &lt;eaxc-id&gt;25&lt;/eaxc-id&gt;</v>
      </c>
    </row>
    <row r="381" spans="1:1" x14ac:dyDescent="0.25">
      <c r="A381" s="1" t="s">
        <v>182</v>
      </c>
    </row>
    <row r="382" spans="1:1" x14ac:dyDescent="0.25">
      <c r="A382" s="1" t="s">
        <v>197</v>
      </c>
    </row>
    <row r="383" spans="1:1" x14ac:dyDescent="0.25">
      <c r="A383" s="2" t="s">
        <v>198</v>
      </c>
    </row>
    <row r="384" spans="1:1" x14ac:dyDescent="0.25">
      <c r="A384" s="16" t="str">
        <f>"          &lt;name&gt;"&amp;'Control-Sheet'!$N43&amp;"&lt;/name&gt;"</f>
        <v xml:space="preserve">          &lt;name&gt;rac_0_0_1_4&lt;/name&gt;</v>
      </c>
    </row>
    <row r="385" spans="1:1" x14ac:dyDescent="0.25">
      <c r="A385" s="2" t="s">
        <v>185</v>
      </c>
    </row>
    <row r="386" spans="1:1" x14ac:dyDescent="0.25">
      <c r="A386" s="16" t="str">
        <f>"          &lt;center-of-channel-bandwidth&gt;"&amp;'Control-Sheet'!$O43*10^6&amp;"&lt;/center-of-channel-bandwidth&gt;"</f>
        <v xml:space="preserve">          &lt;center-of-channel-bandwidth&gt;3445000000&lt;/center-of-channel-bandwidth&gt;</v>
      </c>
    </row>
    <row r="387" spans="1:1" x14ac:dyDescent="0.25">
      <c r="A387" s="16" t="str">
        <f>"          &lt;channel-bandwidth&gt;"&amp;'Control-Sheet'!$P43*10^6&amp;"&lt;/channel-bandwidth&gt;"</f>
        <v xml:space="preserve">          &lt;channel-bandwidth&gt;10000000&lt;/channel-bandwidth&gt;</v>
      </c>
    </row>
    <row r="388" spans="1:1" x14ac:dyDescent="0.25">
      <c r="A388" s="2" t="s">
        <v>186</v>
      </c>
    </row>
    <row r="389" spans="1:1" x14ac:dyDescent="0.25">
      <c r="A389" s="16" t="str">
        <f>"          &lt;type&gt;"&amp;'Control-Sheet'!$Q43&amp;"&lt;/type&gt;"</f>
        <v xml:space="preserve">          &lt;type&gt;NR&lt;/type&gt;</v>
      </c>
    </row>
    <row r="390" spans="1:1" x14ac:dyDescent="0.25">
      <c r="A390" s="16" t="str">
        <f>"          &lt;n-ta-offset&gt;"&amp;'Control-Sheet'!$R43&amp;"&lt;/n-ta-offset&gt;"</f>
        <v xml:space="preserve">          &lt;n-ta-offset&gt;25600&lt;/n-ta-offset&gt;</v>
      </c>
    </row>
    <row r="391" spans="1:1" x14ac:dyDescent="0.25">
      <c r="A391" s="16" t="str">
        <f>IF('Control-Sheet'!S43="", "", "          &lt;t-au-offset&gt;" &amp; 'Control-Sheet'!S43 &amp; "&lt;/t-au-offset&gt;")</f>
        <v/>
      </c>
    </row>
    <row r="392" spans="1:1" x14ac:dyDescent="0.25">
      <c r="A392" s="25" t="s">
        <v>199</v>
      </c>
    </row>
    <row r="393" spans="1:1" x14ac:dyDescent="0.25">
      <c r="A393" s="2" t="s">
        <v>187</v>
      </c>
    </row>
    <row r="394" spans="1:1" x14ac:dyDescent="0.25">
      <c r="A394" s="2" t="s">
        <v>188</v>
      </c>
    </row>
    <row r="395" spans="1:1" x14ac:dyDescent="0.25">
      <c r="A395" s="2" t="s">
        <v>200</v>
      </c>
    </row>
    <row r="396" spans="1:1" x14ac:dyDescent="0.25">
      <c r="A396" s="3" t="s">
        <v>201</v>
      </c>
    </row>
    <row r="397" spans="1:1" x14ac:dyDescent="0.25">
      <c r="A397" s="18" t="str">
        <f>"          &lt;name&gt;"&amp;'Control-Sheet'!$H43&amp;"&lt;/name&gt;"</f>
        <v xml:space="preserve">          &lt;name&gt;llre_0_0_1_4_0_0&lt;/name&gt;</v>
      </c>
    </row>
    <row r="398" spans="1:1" x14ac:dyDescent="0.25">
      <c r="A398" s="18" t="str">
        <f>"          &lt;processing-element&gt;"&amp;'Control-Sheet'!$I43&amp;"&lt;/processing-element&gt;"</f>
        <v xml:space="preserve">          &lt;processing-element&gt;ru-pe.0&lt;/processing-element&gt;</v>
      </c>
    </row>
    <row r="399" spans="1:1" x14ac:dyDescent="0.25">
      <c r="A399" s="18" t="str">
        <f>"          &lt;rx-array-carrier&gt;"&amp;'Control-Sheet'!$J43&amp;"&lt;/rx-array-carrier&gt;"</f>
        <v xml:space="preserve">          &lt;rx-array-carrier&gt;rac_0_0_1_4&lt;/rx-array-carrier&gt;</v>
      </c>
    </row>
    <row r="400" spans="1:1" x14ac:dyDescent="0.25">
      <c r="A400" s="18" t="str">
        <f>"          &lt;low-level-rx-endpoint&gt;"&amp;'Control-Sheet'!$K43&amp;"&lt;/low-level-rx-endpoint&gt;"</f>
        <v xml:space="preserve">          &lt;low-level-rx-endpoint&gt;llre_0_0_1_4_0_0&lt;/low-level-rx-endpoint&gt;</v>
      </c>
    </row>
    <row r="401" spans="1:1" x14ac:dyDescent="0.25">
      <c r="A401" s="3" t="s">
        <v>202</v>
      </c>
    </row>
    <row r="402" spans="1:1" x14ac:dyDescent="0.25">
      <c r="A402" t="str">
        <f>_xlfn.IFS('Control-Sheet'!$A$30="OFF", 'Control-Sheet'!$K$6, TRUE, "")</f>
        <v/>
      </c>
    </row>
    <row r="403" spans="1:1" x14ac:dyDescent="0.25">
      <c r="A403"/>
    </row>
    <row r="405" spans="1:1" x14ac:dyDescent="0.25">
      <c r="A405" s="19" t="s">
        <v>192</v>
      </c>
    </row>
    <row r="406" spans="1:1" x14ac:dyDescent="0.25">
      <c r="A406" s="19" t="s">
        <v>152</v>
      </c>
    </row>
    <row r="407" spans="1:1" x14ac:dyDescent="0.25">
      <c r="A407" s="19" t="s">
        <v>153</v>
      </c>
    </row>
    <row r="408" spans="1:1" x14ac:dyDescent="0.25">
      <c r="A408" s="19" t="s">
        <v>154</v>
      </c>
    </row>
  </sheetData>
  <autoFilter ref="A1:A408" xr:uid="{00000000-0009-0000-0000-000004000000}"/>
  <phoneticPr fontId="3" type="noConversion"/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304"/>
  <sheetViews>
    <sheetView topLeftCell="A247" zoomScale="70" zoomScaleNormal="70" workbookViewId="0">
      <selection activeCell="A298" activeCellId="1" sqref="A263 A298"/>
    </sheetView>
  </sheetViews>
  <sheetFormatPr defaultRowHeight="13.5" x14ac:dyDescent="0.25"/>
  <cols>
    <col min="1" max="1" width="79" style="19" bestFit="1" customWidth="1"/>
    <col min="2" max="2" width="83.85546875" style="29" customWidth="1"/>
  </cols>
  <sheetData>
    <row r="1" spans="1:1" x14ac:dyDescent="0.25">
      <c r="A1" s="19" t="s">
        <v>155</v>
      </c>
    </row>
    <row r="2" spans="1:1" x14ac:dyDescent="0.25">
      <c r="A2" s="19" t="s">
        <v>137</v>
      </c>
    </row>
    <row r="3" spans="1:1" x14ac:dyDescent="0.25">
      <c r="A3" s="19" t="s">
        <v>138</v>
      </c>
    </row>
    <row r="4" spans="1:1" x14ac:dyDescent="0.25">
      <c r="A4" s="19" t="s">
        <v>139</v>
      </c>
    </row>
    <row r="5" spans="1:1" x14ac:dyDescent="0.25">
      <c r="A5" s="19" t="s">
        <v>140</v>
      </c>
    </row>
    <row r="6" spans="1:1" x14ac:dyDescent="0.25">
      <c r="A6" s="19" t="s">
        <v>141</v>
      </c>
    </row>
    <row r="7" spans="1:1" x14ac:dyDescent="0.25">
      <c r="A7" s="19" t="s">
        <v>142</v>
      </c>
    </row>
    <row r="8" spans="1:1" x14ac:dyDescent="0.25">
      <c r="A8" s="19" t="s">
        <v>143</v>
      </c>
    </row>
    <row r="9" spans="1:1" x14ac:dyDescent="0.25">
      <c r="A9" s="19" t="s">
        <v>165</v>
      </c>
    </row>
    <row r="11" spans="1:1" x14ac:dyDescent="0.25">
      <c r="A11" t="str">
        <f>_xlfn.IFS('Control-Sheet'!$A$23="OFF", 'Control-Sheet'!$K$5, TRUE, "")</f>
        <v/>
      </c>
    </row>
    <row r="12" spans="1:1" x14ac:dyDescent="0.25">
      <c r="A12" s="1" t="s">
        <v>194</v>
      </c>
    </row>
    <row r="13" spans="1:1" x14ac:dyDescent="0.25">
      <c r="A13" s="8" t="str">
        <f>"            &lt;name&gt;"&amp;'Control-Sheet'!$C49&amp;"&lt;/name&gt;"</f>
        <v xml:space="preserve">            &lt;name&gt;llre_0_0_0_1_1_0&lt;/name&gt;</v>
      </c>
    </row>
    <row r="14" spans="1:1" x14ac:dyDescent="0.25">
      <c r="A14" s="1" t="s">
        <v>167</v>
      </c>
    </row>
    <row r="15" spans="1:1" x14ac:dyDescent="0.25">
      <c r="A15" s="1" t="s">
        <v>168</v>
      </c>
    </row>
    <row r="16" spans="1:1" x14ac:dyDescent="0.25">
      <c r="A16" s="7" t="str">
        <f>_xlfn.IFS('Control-Sheet'!M49="exponent", 'Control-Sheet'!$G$5, 'Control-Sheet'!M49="BFP", 'Control-Sheet'!$G$6, TRUE, "")</f>
        <v/>
      </c>
    </row>
    <row r="17" spans="1:1" x14ac:dyDescent="0.25">
      <c r="A17" s="7" t="str">
        <f>"          &lt;iq-bitwidth&gt;"&amp;'Control-Sheet'!L49&amp;"&lt;/iq-bitwidth&gt;"</f>
        <v xml:space="preserve">          &lt;iq-bitwidth&gt;16&lt;/iq-bitwidth&gt;</v>
      </c>
    </row>
    <row r="18" spans="1:1" x14ac:dyDescent="0.25">
      <c r="A18" s="1" t="s">
        <v>169</v>
      </c>
    </row>
    <row r="19" spans="1:1" x14ac:dyDescent="0.25">
      <c r="A19" s="1" t="s">
        <v>170</v>
      </c>
    </row>
    <row r="20" spans="1:1" x14ac:dyDescent="0.25">
      <c r="A20" s="1" t="s">
        <v>171</v>
      </c>
    </row>
    <row r="21" spans="1:1" x14ac:dyDescent="0.25">
      <c r="A21" s="1" t="s">
        <v>172</v>
      </c>
    </row>
    <row r="22" spans="1:1" x14ac:dyDescent="0.25">
      <c r="A22" s="1" t="s">
        <v>173</v>
      </c>
    </row>
    <row r="23" spans="1:1" x14ac:dyDescent="0.25">
      <c r="A23" s="1" t="s">
        <v>174</v>
      </c>
    </row>
    <row r="24" spans="1:1" x14ac:dyDescent="0.25">
      <c r="A24" s="1" t="s">
        <v>175</v>
      </c>
    </row>
    <row r="25" spans="1:1" x14ac:dyDescent="0.25">
      <c r="A25" s="8" t="str">
        <f>"            &lt;scs&gt;"&amp;'Control-Sheet'!$D49&amp;"&lt;/scs&gt;"</f>
        <v xml:space="preserve">            &lt;scs&gt;KHZ_15&lt;/scs&gt;</v>
      </c>
    </row>
    <row r="26" spans="1:1" x14ac:dyDescent="0.25">
      <c r="A26" s="8" t="str">
        <f>"            &lt;number-of-prb&gt;"&amp;'Control-Sheet'!$E49&amp;"&lt;/number-of-prb&gt;"</f>
        <v xml:space="preserve">            &lt;number-of-prb&gt;&lt;/number-of-prb&gt;</v>
      </c>
    </row>
    <row r="27" spans="1:1" x14ac:dyDescent="0.25">
      <c r="A27" s="1" t="s">
        <v>176</v>
      </c>
    </row>
    <row r="28" spans="1:1" x14ac:dyDescent="0.25">
      <c r="A28" s="1" t="s">
        <v>195</v>
      </c>
    </row>
    <row r="29" spans="1:1" x14ac:dyDescent="0.25">
      <c r="A29" s="8" t="str">
        <f>"            &lt;scs&gt;"&amp;'Control-Sheet'!$D49&amp;"&lt;/scs&gt;"</f>
        <v xml:space="preserve">            &lt;scs&gt;KHZ_15&lt;/scs&gt;</v>
      </c>
    </row>
    <row r="30" spans="1:1" x14ac:dyDescent="0.25">
      <c r="A30" s="8" t="str">
        <f>"            &lt;ul-fft-sampling-offset&gt;"&amp;'Control-Sheet'!$F49&amp;"&lt;/ul-fft-sampling-offset&gt;"</f>
        <v xml:space="preserve">            &lt;ul-fft-sampling-offset&gt;0&lt;/ul-fft-sampling-offset&gt;</v>
      </c>
    </row>
    <row r="31" spans="1:1" x14ac:dyDescent="0.25">
      <c r="A31" s="1" t="s">
        <v>196</v>
      </c>
    </row>
    <row r="32" spans="1:1" x14ac:dyDescent="0.25">
      <c r="A32" s="1" t="s">
        <v>177</v>
      </c>
    </row>
    <row r="33" spans="1:1" x14ac:dyDescent="0.25">
      <c r="A33" s="1" t="s">
        <v>178</v>
      </c>
    </row>
    <row r="34" spans="1:1" x14ac:dyDescent="0.25">
      <c r="A34" s="1" t="s">
        <v>179</v>
      </c>
    </row>
    <row r="35" spans="1:1" x14ac:dyDescent="0.25">
      <c r="A35" s="1" t="s">
        <v>180</v>
      </c>
    </row>
    <row r="36" spans="1:1" x14ac:dyDescent="0.25">
      <c r="A36" s="1" t="s">
        <v>181</v>
      </c>
    </row>
    <row r="37" spans="1:1" x14ac:dyDescent="0.25">
      <c r="A37" s="8" t="str">
        <f>"            &lt;eaxc-id&gt;"&amp;'Control-Sheet'!$G49&amp;"&lt;/eaxc-id&gt;"</f>
        <v xml:space="preserve">            &lt;eaxc-id&gt;34&lt;/eaxc-id&gt;</v>
      </c>
    </row>
    <row r="38" spans="1:1" x14ac:dyDescent="0.25">
      <c r="A38" s="1" t="s">
        <v>182</v>
      </c>
    </row>
    <row r="39" spans="1:1" x14ac:dyDescent="0.25">
      <c r="A39" s="1" t="s">
        <v>197</v>
      </c>
    </row>
    <row r="40" spans="1:1" x14ac:dyDescent="0.25">
      <c r="A40" s="3" t="s">
        <v>201</v>
      </c>
    </row>
    <row r="41" spans="1:1" x14ac:dyDescent="0.25">
      <c r="A41" s="18" t="str">
        <f>"          &lt;name&gt;"&amp;'Control-Sheet'!$H49&amp;"&lt;/name&gt;"</f>
        <v xml:space="preserve">          &lt;name&gt;llre_0_0_0_1_1_0&lt;/name&gt;</v>
      </c>
    </row>
    <row r="42" spans="1:1" x14ac:dyDescent="0.25">
      <c r="A42" s="18" t="str">
        <f>"          &lt;processing-element&gt;"&amp;'Control-Sheet'!$I49&amp;"&lt;/processing-element&gt;"</f>
        <v xml:space="preserve">          &lt;processing-element&gt;ru-pe.0&lt;/processing-element&gt;</v>
      </c>
    </row>
    <row r="43" spans="1:1" x14ac:dyDescent="0.25">
      <c r="A43" s="18" t="str">
        <f>"          &lt;rx-array-carrier&gt;"&amp;'Control-Sheet'!$J49&amp;"&lt;/rx-array-carrier&gt;"</f>
        <v xml:space="preserve">          &lt;rx-array-carrier&gt;rac_0_0_0_1&lt;/rx-array-carrier&gt;</v>
      </c>
    </row>
    <row r="44" spans="1:1" x14ac:dyDescent="0.25">
      <c r="A44" s="18" t="str">
        <f>"          &lt;low-level-rx-endpoint&gt;"&amp;'Control-Sheet'!$K49&amp;"&lt;/low-level-rx-endpoint&gt;"</f>
        <v xml:space="preserve">          &lt;low-level-rx-endpoint&gt;llre_0_0_0_1_1_0&lt;/low-level-rx-endpoint&gt;</v>
      </c>
    </row>
    <row r="45" spans="1:1" x14ac:dyDescent="0.25">
      <c r="A45" s="3" t="s">
        <v>202</v>
      </c>
    </row>
    <row r="46" spans="1:1" x14ac:dyDescent="0.25">
      <c r="A46" t="str">
        <f>_xlfn.IFS('Control-Sheet'!$A$23="OFF", 'Control-Sheet'!$K$6, TRUE, "")</f>
        <v/>
      </c>
    </row>
    <row r="47" spans="1:1" x14ac:dyDescent="0.25">
      <c r="A47" t="str">
        <f>_xlfn.IFS('Control-Sheet'!$A$24="OFF", 'Control-Sheet'!$K$5, TRUE, "")</f>
        <v/>
      </c>
    </row>
    <row r="48" spans="1:1" x14ac:dyDescent="0.25">
      <c r="A48" s="1" t="s">
        <v>194</v>
      </c>
    </row>
    <row r="49" spans="1:1" x14ac:dyDescent="0.25">
      <c r="A49" s="8" t="str">
        <f>"            &lt;name&gt;"&amp;'Control-Sheet'!$C50&amp;"&lt;/name&gt;"</f>
        <v xml:space="preserve">            &lt;name&gt;llre_0_0_1_1_1_0&lt;/name&gt;</v>
      </c>
    </row>
    <row r="50" spans="1:1" x14ac:dyDescent="0.25">
      <c r="A50" s="1" t="s">
        <v>167</v>
      </c>
    </row>
    <row r="51" spans="1:1" x14ac:dyDescent="0.25">
      <c r="A51" s="1" t="s">
        <v>168</v>
      </c>
    </row>
    <row r="52" spans="1:1" x14ac:dyDescent="0.25">
      <c r="A52" s="7" t="str">
        <f>_xlfn.IFS('Control-Sheet'!M50="exponent", 'Control-Sheet'!$G$5, 'Control-Sheet'!M50="BFP", 'Control-Sheet'!$G$6, TRUE, "")</f>
        <v/>
      </c>
    </row>
    <row r="53" spans="1:1" x14ac:dyDescent="0.25">
      <c r="A53" s="7" t="str">
        <f>"          &lt;iq-bitwidth&gt;"&amp;'Control-Sheet'!L50&amp;"&lt;/iq-bitwidth&gt;"</f>
        <v xml:space="preserve">          &lt;iq-bitwidth&gt;16&lt;/iq-bitwidth&gt;</v>
      </c>
    </row>
    <row r="54" spans="1:1" x14ac:dyDescent="0.25">
      <c r="A54" s="1" t="s">
        <v>169</v>
      </c>
    </row>
    <row r="55" spans="1:1" x14ac:dyDescent="0.25">
      <c r="A55" s="1" t="s">
        <v>170</v>
      </c>
    </row>
    <row r="56" spans="1:1" x14ac:dyDescent="0.25">
      <c r="A56" s="1" t="s">
        <v>171</v>
      </c>
    </row>
    <row r="57" spans="1:1" x14ac:dyDescent="0.25">
      <c r="A57" s="1" t="s">
        <v>172</v>
      </c>
    </row>
    <row r="58" spans="1:1" x14ac:dyDescent="0.25">
      <c r="A58" s="1" t="s">
        <v>173</v>
      </c>
    </row>
    <row r="59" spans="1:1" x14ac:dyDescent="0.25">
      <c r="A59" s="1" t="s">
        <v>174</v>
      </c>
    </row>
    <row r="60" spans="1:1" x14ac:dyDescent="0.25">
      <c r="A60" s="1" t="s">
        <v>175</v>
      </c>
    </row>
    <row r="61" spans="1:1" x14ac:dyDescent="0.25">
      <c r="A61" s="8" t="str">
        <f>"            &lt;scs&gt;"&amp;'Control-Sheet'!$D50&amp;"&lt;/scs&gt;"</f>
        <v xml:space="preserve">            &lt;scs&gt;KHZ_15&lt;/scs&gt;</v>
      </c>
    </row>
    <row r="62" spans="1:1" x14ac:dyDescent="0.25">
      <c r="A62" s="8" t="str">
        <f>"            &lt;number-of-prb&gt;"&amp;'Control-Sheet'!$E50&amp;"&lt;/number-of-prb&gt;"</f>
        <v xml:space="preserve">            &lt;number-of-prb&gt;&lt;/number-of-prb&gt;</v>
      </c>
    </row>
    <row r="63" spans="1:1" x14ac:dyDescent="0.25">
      <c r="A63" s="1" t="s">
        <v>176</v>
      </c>
    </row>
    <row r="64" spans="1:1" x14ac:dyDescent="0.25">
      <c r="A64" s="1" t="s">
        <v>195</v>
      </c>
    </row>
    <row r="65" spans="1:1" x14ac:dyDescent="0.25">
      <c r="A65" s="8" t="str">
        <f>"            &lt;scs&gt;"&amp;'Control-Sheet'!$D50&amp;"&lt;/scs&gt;"</f>
        <v xml:space="preserve">            &lt;scs&gt;KHZ_15&lt;/scs&gt;</v>
      </c>
    </row>
    <row r="66" spans="1:1" x14ac:dyDescent="0.25">
      <c r="A66" s="8" t="str">
        <f>"            &lt;ul-fft-sampling-offset&gt;"&amp;'Control-Sheet'!$F50&amp;"&lt;/ul-fft-sampling-offset&gt;"</f>
        <v xml:space="preserve">            &lt;ul-fft-sampling-offset&gt;0&lt;/ul-fft-sampling-offset&gt;</v>
      </c>
    </row>
    <row r="67" spans="1:1" x14ac:dyDescent="0.25">
      <c r="A67" s="1" t="s">
        <v>196</v>
      </c>
    </row>
    <row r="68" spans="1:1" x14ac:dyDescent="0.25">
      <c r="A68" s="1" t="s">
        <v>177</v>
      </c>
    </row>
    <row r="69" spans="1:1" x14ac:dyDescent="0.25">
      <c r="A69" s="1" t="s">
        <v>178</v>
      </c>
    </row>
    <row r="70" spans="1:1" x14ac:dyDescent="0.25">
      <c r="A70" s="1" t="s">
        <v>179</v>
      </c>
    </row>
    <row r="71" spans="1:1" x14ac:dyDescent="0.25">
      <c r="A71" s="1" t="s">
        <v>180</v>
      </c>
    </row>
    <row r="72" spans="1:1" x14ac:dyDescent="0.25">
      <c r="A72" s="1" t="s">
        <v>181</v>
      </c>
    </row>
    <row r="73" spans="1:1" x14ac:dyDescent="0.25">
      <c r="A73" s="8" t="str">
        <f>"            &lt;eaxc-id&gt;"&amp;'Control-Sheet'!$G50&amp;"&lt;/eaxc-id&gt;"</f>
        <v xml:space="preserve">            &lt;eaxc-id&gt;35&lt;/eaxc-id&gt;</v>
      </c>
    </row>
    <row r="74" spans="1:1" x14ac:dyDescent="0.25">
      <c r="A74" s="1" t="s">
        <v>182</v>
      </c>
    </row>
    <row r="75" spans="1:1" x14ac:dyDescent="0.25">
      <c r="A75" s="1" t="s">
        <v>197</v>
      </c>
    </row>
    <row r="76" spans="1:1" x14ac:dyDescent="0.25">
      <c r="A76" s="3" t="s">
        <v>201</v>
      </c>
    </row>
    <row r="77" spans="1:1" x14ac:dyDescent="0.25">
      <c r="A77" s="18" t="str">
        <f>"          &lt;name&gt;"&amp;'Control-Sheet'!$H50&amp;"&lt;/name&gt;"</f>
        <v xml:space="preserve">          &lt;name&gt;llre_0_0_1_1_1_0&lt;/name&gt;</v>
      </c>
    </row>
    <row r="78" spans="1:1" x14ac:dyDescent="0.25">
      <c r="A78" s="18" t="str">
        <f>"          &lt;processing-element&gt;"&amp;'Control-Sheet'!$I50&amp;"&lt;/processing-element&gt;"</f>
        <v xml:space="preserve">          &lt;processing-element&gt;ru-pe.0&lt;/processing-element&gt;</v>
      </c>
    </row>
    <row r="79" spans="1:1" x14ac:dyDescent="0.25">
      <c r="A79" s="18" t="str">
        <f>"          &lt;rx-array-carrier&gt;"&amp;'Control-Sheet'!$J50&amp;"&lt;/rx-array-carrier&gt;"</f>
        <v xml:space="preserve">          &lt;rx-array-carrier&gt;rac_0_0_1_1&lt;/rx-array-carrier&gt;</v>
      </c>
    </row>
    <row r="80" spans="1:1" x14ac:dyDescent="0.25">
      <c r="A80" s="18" t="str">
        <f>"          &lt;low-level-rx-endpoint&gt;"&amp;'Control-Sheet'!$K50&amp;"&lt;/low-level-rx-endpoint&gt;"</f>
        <v xml:space="preserve">          &lt;low-level-rx-endpoint&gt;llre_0_0_1_1_1_0&lt;/low-level-rx-endpoint&gt;</v>
      </c>
    </row>
    <row r="81" spans="1:1" x14ac:dyDescent="0.25">
      <c r="A81" s="3" t="s">
        <v>202</v>
      </c>
    </row>
    <row r="82" spans="1:1" x14ac:dyDescent="0.25">
      <c r="A82" t="str">
        <f>_xlfn.IFS('Control-Sheet'!$A$24="OFF", 'Control-Sheet'!$K$6, TRUE, "")</f>
        <v/>
      </c>
    </row>
    <row r="83" spans="1:1" x14ac:dyDescent="0.25">
      <c r="A83" t="str">
        <f>_xlfn.IFS('Control-Sheet'!$A$25="OFF", 'Control-Sheet'!$K$5, TRUE, "")</f>
        <v/>
      </c>
    </row>
    <row r="84" spans="1:1" x14ac:dyDescent="0.25">
      <c r="A84" s="1" t="s">
        <v>194</v>
      </c>
    </row>
    <row r="85" spans="1:1" x14ac:dyDescent="0.25">
      <c r="A85" s="8" t="str">
        <f>"            &lt;name&gt;"&amp;'Control-Sheet'!$C51&amp;"&lt;/name&gt;"</f>
        <v xml:space="preserve">            &lt;name&gt;llre_0_0_0_2_1_0&lt;/name&gt;</v>
      </c>
    </row>
    <row r="86" spans="1:1" x14ac:dyDescent="0.25">
      <c r="A86" s="1" t="s">
        <v>167</v>
      </c>
    </row>
    <row r="87" spans="1:1" x14ac:dyDescent="0.25">
      <c r="A87" s="1" t="s">
        <v>168</v>
      </c>
    </row>
    <row r="88" spans="1:1" x14ac:dyDescent="0.25">
      <c r="A88" s="7" t="str">
        <f>_xlfn.IFS('Control-Sheet'!M51="exponent", 'Control-Sheet'!$G$5, 'Control-Sheet'!M51="BFP", 'Control-Sheet'!$G$6, TRUE, "")</f>
        <v/>
      </c>
    </row>
    <row r="89" spans="1:1" x14ac:dyDescent="0.25">
      <c r="A89" s="7" t="str">
        <f>"          &lt;iq-bitwidth&gt;"&amp;'Control-Sheet'!L51&amp;"&lt;/iq-bitwidth&gt;"</f>
        <v xml:space="preserve">          &lt;iq-bitwidth&gt;16&lt;/iq-bitwidth&gt;</v>
      </c>
    </row>
    <row r="90" spans="1:1" x14ac:dyDescent="0.25">
      <c r="A90" s="1" t="s">
        <v>169</v>
      </c>
    </row>
    <row r="91" spans="1:1" x14ac:dyDescent="0.25">
      <c r="A91" s="1" t="s">
        <v>170</v>
      </c>
    </row>
    <row r="92" spans="1:1" x14ac:dyDescent="0.25">
      <c r="A92" s="1" t="s">
        <v>171</v>
      </c>
    </row>
    <row r="93" spans="1:1" x14ac:dyDescent="0.25">
      <c r="A93" s="1" t="s">
        <v>172</v>
      </c>
    </row>
    <row r="94" spans="1:1" x14ac:dyDescent="0.25">
      <c r="A94" s="1" t="s">
        <v>173</v>
      </c>
    </row>
    <row r="95" spans="1:1" x14ac:dyDescent="0.25">
      <c r="A95" s="1" t="s">
        <v>174</v>
      </c>
    </row>
    <row r="96" spans="1:1" x14ac:dyDescent="0.25">
      <c r="A96" s="1" t="s">
        <v>175</v>
      </c>
    </row>
    <row r="97" spans="1:1" x14ac:dyDescent="0.25">
      <c r="A97" s="8" t="str">
        <f>"            &lt;scs&gt;"&amp;'Control-Sheet'!$D51&amp;"&lt;/scs&gt;"</f>
        <v xml:space="preserve">            &lt;scs&gt;KHZ_15&lt;/scs&gt;</v>
      </c>
    </row>
    <row r="98" spans="1:1" x14ac:dyDescent="0.25">
      <c r="A98" s="8" t="str">
        <f>"            &lt;number-of-prb&gt;"&amp;'Control-Sheet'!$E51&amp;"&lt;/number-of-prb&gt;"</f>
        <v xml:space="preserve">            &lt;number-of-prb&gt;&lt;/number-of-prb&gt;</v>
      </c>
    </row>
    <row r="99" spans="1:1" x14ac:dyDescent="0.25">
      <c r="A99" s="1" t="s">
        <v>176</v>
      </c>
    </row>
    <row r="100" spans="1:1" x14ac:dyDescent="0.25">
      <c r="A100" s="1" t="s">
        <v>195</v>
      </c>
    </row>
    <row r="101" spans="1:1" x14ac:dyDescent="0.25">
      <c r="A101" s="8" t="str">
        <f>"            &lt;scs&gt;"&amp;'Control-Sheet'!$D51&amp;"&lt;/scs&gt;"</f>
        <v xml:space="preserve">            &lt;scs&gt;KHZ_15&lt;/scs&gt;</v>
      </c>
    </row>
    <row r="102" spans="1:1" x14ac:dyDescent="0.25">
      <c r="A102" s="8" t="str">
        <f>"            &lt;ul-fft-sampling-offset&gt;"&amp;'Control-Sheet'!$F51&amp;"&lt;/ul-fft-sampling-offset&gt;"</f>
        <v xml:space="preserve">            &lt;ul-fft-sampling-offset&gt;0&lt;/ul-fft-sampling-offset&gt;</v>
      </c>
    </row>
    <row r="103" spans="1:1" x14ac:dyDescent="0.25">
      <c r="A103" s="1" t="s">
        <v>196</v>
      </c>
    </row>
    <row r="104" spans="1:1" x14ac:dyDescent="0.25">
      <c r="A104" s="1" t="s">
        <v>177</v>
      </c>
    </row>
    <row r="105" spans="1:1" x14ac:dyDescent="0.25">
      <c r="A105" s="1" t="s">
        <v>178</v>
      </c>
    </row>
    <row r="106" spans="1:1" x14ac:dyDescent="0.25">
      <c r="A106" s="1" t="s">
        <v>179</v>
      </c>
    </row>
    <row r="107" spans="1:1" x14ac:dyDescent="0.25">
      <c r="A107" s="1" t="s">
        <v>180</v>
      </c>
    </row>
    <row r="108" spans="1:1" x14ac:dyDescent="0.25">
      <c r="A108" s="1" t="s">
        <v>181</v>
      </c>
    </row>
    <row r="109" spans="1:1" x14ac:dyDescent="0.25">
      <c r="A109" s="8" t="str">
        <f>"            &lt;eaxc-id&gt;"&amp;'Control-Sheet'!$G51&amp;"&lt;/eaxc-id&gt;"</f>
        <v xml:space="preserve">            &lt;eaxc-id&gt;36&lt;/eaxc-id&gt;</v>
      </c>
    </row>
    <row r="110" spans="1:1" x14ac:dyDescent="0.25">
      <c r="A110" s="1" t="s">
        <v>182</v>
      </c>
    </row>
    <row r="111" spans="1:1" x14ac:dyDescent="0.25">
      <c r="A111" s="1" t="s">
        <v>197</v>
      </c>
    </row>
    <row r="112" spans="1:1" x14ac:dyDescent="0.25">
      <c r="A112" s="3" t="s">
        <v>201</v>
      </c>
    </row>
    <row r="113" spans="1:1" x14ac:dyDescent="0.25">
      <c r="A113" s="18" t="str">
        <f>"          &lt;name&gt;"&amp;'Control-Sheet'!$H51&amp;"&lt;/name&gt;"</f>
        <v xml:space="preserve">          &lt;name&gt;llre_0_0_0_2_1_0&lt;/name&gt;</v>
      </c>
    </row>
    <row r="114" spans="1:1" x14ac:dyDescent="0.25">
      <c r="A114" s="18" t="str">
        <f>"          &lt;processing-element&gt;"&amp;'Control-Sheet'!$I51&amp;"&lt;/processing-element&gt;"</f>
        <v xml:space="preserve">          &lt;processing-element&gt;ru-pe.0&lt;/processing-element&gt;</v>
      </c>
    </row>
    <row r="115" spans="1:1" x14ac:dyDescent="0.25">
      <c r="A115" s="18" t="str">
        <f>"          &lt;rx-array-carrier&gt;"&amp;'Control-Sheet'!$J51&amp;"&lt;/rx-array-carrier&gt;"</f>
        <v xml:space="preserve">          &lt;rx-array-carrier&gt;rac_0_0_0_2&lt;/rx-array-carrier&gt;</v>
      </c>
    </row>
    <row r="116" spans="1:1" x14ac:dyDescent="0.25">
      <c r="A116" s="18" t="str">
        <f>"          &lt;low-level-rx-endpoint&gt;"&amp;'Control-Sheet'!$K51&amp;"&lt;/low-level-rx-endpoint&gt;"</f>
        <v xml:space="preserve">          &lt;low-level-rx-endpoint&gt;llre_0_0_0_2_1_0&lt;/low-level-rx-endpoint&gt;</v>
      </c>
    </row>
    <row r="117" spans="1:1" x14ac:dyDescent="0.25">
      <c r="A117" s="3" t="s">
        <v>202</v>
      </c>
    </row>
    <row r="118" spans="1:1" x14ac:dyDescent="0.25">
      <c r="A118" t="str">
        <f>_xlfn.IFS('Control-Sheet'!$A$25="OFF", 'Control-Sheet'!$K$6, TRUE, "")</f>
        <v/>
      </c>
    </row>
    <row r="119" spans="1:1" x14ac:dyDescent="0.25">
      <c r="A119" t="str">
        <f>_xlfn.IFS('Control-Sheet'!$A$26="OFF", 'Control-Sheet'!$K$5, TRUE, "")</f>
        <v/>
      </c>
    </row>
    <row r="120" spans="1:1" x14ac:dyDescent="0.25">
      <c r="A120" s="1" t="s">
        <v>194</v>
      </c>
    </row>
    <row r="121" spans="1:1" x14ac:dyDescent="0.25">
      <c r="A121" s="8" t="str">
        <f>"            &lt;name&gt;"&amp;'Control-Sheet'!$C52&amp;"&lt;/name&gt;"</f>
        <v xml:space="preserve">            &lt;name&gt;llre_0_0_1_2_1_0&lt;/name&gt;</v>
      </c>
    </row>
    <row r="122" spans="1:1" x14ac:dyDescent="0.25">
      <c r="A122" s="1" t="s">
        <v>167</v>
      </c>
    </row>
    <row r="123" spans="1:1" x14ac:dyDescent="0.25">
      <c r="A123" s="1" t="s">
        <v>168</v>
      </c>
    </row>
    <row r="124" spans="1:1" x14ac:dyDescent="0.25">
      <c r="A124" s="7" t="str">
        <f>_xlfn.IFS('Control-Sheet'!M52="exponent", 'Control-Sheet'!$G$5, 'Control-Sheet'!M52="BFP", 'Control-Sheet'!$G$6, TRUE, "")</f>
        <v/>
      </c>
    </row>
    <row r="125" spans="1:1" x14ac:dyDescent="0.25">
      <c r="A125" s="7" t="str">
        <f>"          &lt;iq-bitwidth&gt;"&amp;'Control-Sheet'!L52&amp;"&lt;/iq-bitwidth&gt;"</f>
        <v xml:space="preserve">          &lt;iq-bitwidth&gt;16&lt;/iq-bitwidth&gt;</v>
      </c>
    </row>
    <row r="126" spans="1:1" x14ac:dyDescent="0.25">
      <c r="A126" s="1" t="s">
        <v>169</v>
      </c>
    </row>
    <row r="127" spans="1:1" x14ac:dyDescent="0.25">
      <c r="A127" s="1" t="s">
        <v>170</v>
      </c>
    </row>
    <row r="128" spans="1:1" x14ac:dyDescent="0.25">
      <c r="A128" s="1" t="s">
        <v>171</v>
      </c>
    </row>
    <row r="129" spans="1:1" x14ac:dyDescent="0.25">
      <c r="A129" s="1" t="s">
        <v>172</v>
      </c>
    </row>
    <row r="130" spans="1:1" x14ac:dyDescent="0.25">
      <c r="A130" s="1" t="s">
        <v>173</v>
      </c>
    </row>
    <row r="131" spans="1:1" x14ac:dyDescent="0.25">
      <c r="A131" s="1" t="s">
        <v>174</v>
      </c>
    </row>
    <row r="132" spans="1:1" x14ac:dyDescent="0.25">
      <c r="A132" s="1" t="s">
        <v>175</v>
      </c>
    </row>
    <row r="133" spans="1:1" x14ac:dyDescent="0.25">
      <c r="A133" s="8" t="str">
        <f>"            &lt;scs&gt;"&amp;'Control-Sheet'!$D52&amp;"&lt;/scs&gt;"</f>
        <v xml:space="preserve">            &lt;scs&gt;KHZ_15&lt;/scs&gt;</v>
      </c>
    </row>
    <row r="134" spans="1:1" x14ac:dyDescent="0.25">
      <c r="A134" s="8" t="str">
        <f>"            &lt;number-of-prb&gt;"&amp;'Control-Sheet'!$E52&amp;"&lt;/number-of-prb&gt;"</f>
        <v xml:space="preserve">            &lt;number-of-prb&gt;&lt;/number-of-prb&gt;</v>
      </c>
    </row>
    <row r="135" spans="1:1" x14ac:dyDescent="0.25">
      <c r="A135" s="1" t="s">
        <v>176</v>
      </c>
    </row>
    <row r="136" spans="1:1" x14ac:dyDescent="0.25">
      <c r="A136" s="1" t="s">
        <v>195</v>
      </c>
    </row>
    <row r="137" spans="1:1" x14ac:dyDescent="0.25">
      <c r="A137" s="8" t="str">
        <f>"            &lt;scs&gt;"&amp;'Control-Sheet'!$D52&amp;"&lt;/scs&gt;"</f>
        <v xml:space="preserve">            &lt;scs&gt;KHZ_15&lt;/scs&gt;</v>
      </c>
    </row>
    <row r="138" spans="1:1" x14ac:dyDescent="0.25">
      <c r="A138" s="8" t="str">
        <f>"            &lt;ul-fft-sampling-offset&gt;"&amp;'Control-Sheet'!$F52&amp;"&lt;/ul-fft-sampling-offset&gt;"</f>
        <v xml:space="preserve">            &lt;ul-fft-sampling-offset&gt;0&lt;/ul-fft-sampling-offset&gt;</v>
      </c>
    </row>
    <row r="139" spans="1:1" x14ac:dyDescent="0.25">
      <c r="A139" s="1" t="s">
        <v>196</v>
      </c>
    </row>
    <row r="140" spans="1:1" x14ac:dyDescent="0.25">
      <c r="A140" s="1" t="s">
        <v>177</v>
      </c>
    </row>
    <row r="141" spans="1:1" x14ac:dyDescent="0.25">
      <c r="A141" s="1" t="s">
        <v>178</v>
      </c>
    </row>
    <row r="142" spans="1:1" x14ac:dyDescent="0.25">
      <c r="A142" s="1" t="s">
        <v>179</v>
      </c>
    </row>
    <row r="143" spans="1:1" x14ac:dyDescent="0.25">
      <c r="A143" s="1" t="s">
        <v>180</v>
      </c>
    </row>
    <row r="144" spans="1:1" x14ac:dyDescent="0.25">
      <c r="A144" s="1" t="s">
        <v>181</v>
      </c>
    </row>
    <row r="145" spans="1:1" x14ac:dyDescent="0.25">
      <c r="A145" s="8" t="str">
        <f>"            &lt;eaxc-id&gt;"&amp;'Control-Sheet'!$G52&amp;"&lt;/eaxc-id&gt;"</f>
        <v xml:space="preserve">            &lt;eaxc-id&gt;37&lt;/eaxc-id&gt;</v>
      </c>
    </row>
    <row r="146" spans="1:1" x14ac:dyDescent="0.25">
      <c r="A146" s="1" t="s">
        <v>182</v>
      </c>
    </row>
    <row r="147" spans="1:1" x14ac:dyDescent="0.25">
      <c r="A147" s="1" t="s">
        <v>197</v>
      </c>
    </row>
    <row r="148" spans="1:1" x14ac:dyDescent="0.25">
      <c r="A148" s="3" t="s">
        <v>201</v>
      </c>
    </row>
    <row r="149" spans="1:1" x14ac:dyDescent="0.25">
      <c r="A149" s="18" t="str">
        <f>"          &lt;name&gt;"&amp;'Control-Sheet'!$H52&amp;"&lt;/name&gt;"</f>
        <v xml:space="preserve">          &lt;name&gt;llre_0_0_1_2_1_0&lt;/name&gt;</v>
      </c>
    </row>
    <row r="150" spans="1:1" x14ac:dyDescent="0.25">
      <c r="A150" s="18" t="str">
        <f>"          &lt;processing-element&gt;"&amp;'Control-Sheet'!$I52&amp;"&lt;/processing-element&gt;"</f>
        <v xml:space="preserve">          &lt;processing-element&gt;ru-pe.0&lt;/processing-element&gt;</v>
      </c>
    </row>
    <row r="151" spans="1:1" x14ac:dyDescent="0.25">
      <c r="A151" s="18" t="str">
        <f>"          &lt;rx-array-carrier&gt;"&amp;'Control-Sheet'!$J52&amp;"&lt;/rx-array-carrier&gt;"</f>
        <v xml:space="preserve">          &lt;rx-array-carrier&gt;rac_0_0_1_2&lt;/rx-array-carrier&gt;</v>
      </c>
    </row>
    <row r="152" spans="1:1" x14ac:dyDescent="0.25">
      <c r="A152" s="18" t="str">
        <f>"          &lt;low-level-rx-endpoint&gt;"&amp;'Control-Sheet'!$K52&amp;"&lt;/low-level-rx-endpoint&gt;"</f>
        <v xml:space="preserve">          &lt;low-level-rx-endpoint&gt;llre_0_0_1_2_1_0&lt;/low-level-rx-endpoint&gt;</v>
      </c>
    </row>
    <row r="153" spans="1:1" x14ac:dyDescent="0.25">
      <c r="A153" s="3" t="s">
        <v>202</v>
      </c>
    </row>
    <row r="154" spans="1:1" x14ac:dyDescent="0.25">
      <c r="A154" t="str">
        <f>_xlfn.IFS('Control-Sheet'!$A$26="OFF", 'Control-Sheet'!$K$6, TRUE, "")</f>
        <v/>
      </c>
    </row>
    <row r="155" spans="1:1" x14ac:dyDescent="0.25">
      <c r="A155" t="str">
        <f>_xlfn.IFS('Control-Sheet'!$A$27="OFF", 'Control-Sheet'!$K$5, TRUE, "")</f>
        <v/>
      </c>
    </row>
    <row r="156" spans="1:1" x14ac:dyDescent="0.25">
      <c r="A156" s="1" t="s">
        <v>194</v>
      </c>
    </row>
    <row r="157" spans="1:1" x14ac:dyDescent="0.25">
      <c r="A157" s="8" t="str">
        <f>"            &lt;name&gt;"&amp;'Control-Sheet'!$C53&amp;"&lt;/name&gt;"</f>
        <v xml:space="preserve">            &lt;name&gt;llre_0_0_0_3_1_0&lt;/name&gt;</v>
      </c>
    </row>
    <row r="158" spans="1:1" x14ac:dyDescent="0.25">
      <c r="A158" s="1" t="s">
        <v>167</v>
      </c>
    </row>
    <row r="159" spans="1:1" x14ac:dyDescent="0.25">
      <c r="A159" s="1" t="s">
        <v>168</v>
      </c>
    </row>
    <row r="160" spans="1:1" x14ac:dyDescent="0.25">
      <c r="A160" s="7" t="str">
        <f>_xlfn.IFS('Control-Sheet'!M53="exponent", 'Control-Sheet'!$G$5, 'Control-Sheet'!M53="BFP", 'Control-Sheet'!$G$6, TRUE, "")</f>
        <v/>
      </c>
    </row>
    <row r="161" spans="1:1" x14ac:dyDescent="0.25">
      <c r="A161" s="7" t="str">
        <f>"          &lt;iq-bitwidth&gt;"&amp;'Control-Sheet'!L53&amp;"&lt;/iq-bitwidth&gt;"</f>
        <v xml:space="preserve">          &lt;iq-bitwidth&gt;16&lt;/iq-bitwidth&gt;</v>
      </c>
    </row>
    <row r="162" spans="1:1" x14ac:dyDescent="0.25">
      <c r="A162" s="1" t="s">
        <v>169</v>
      </c>
    </row>
    <row r="163" spans="1:1" x14ac:dyDescent="0.25">
      <c r="A163" s="1" t="s">
        <v>170</v>
      </c>
    </row>
    <row r="164" spans="1:1" x14ac:dyDescent="0.25">
      <c r="A164" s="1" t="s">
        <v>171</v>
      </c>
    </row>
    <row r="165" spans="1:1" x14ac:dyDescent="0.25">
      <c r="A165" s="1" t="s">
        <v>172</v>
      </c>
    </row>
    <row r="166" spans="1:1" x14ac:dyDescent="0.25">
      <c r="A166" s="1" t="s">
        <v>173</v>
      </c>
    </row>
    <row r="167" spans="1:1" x14ac:dyDescent="0.25">
      <c r="A167" s="1" t="s">
        <v>174</v>
      </c>
    </row>
    <row r="168" spans="1:1" x14ac:dyDescent="0.25">
      <c r="A168" s="1" t="s">
        <v>175</v>
      </c>
    </row>
    <row r="169" spans="1:1" x14ac:dyDescent="0.25">
      <c r="A169" s="8" t="str">
        <f>"            &lt;scs&gt;"&amp;'Control-Sheet'!$D53&amp;"&lt;/scs&gt;"</f>
        <v xml:space="preserve">            &lt;scs&gt;KHZ_15&lt;/scs&gt;</v>
      </c>
    </row>
    <row r="170" spans="1:1" x14ac:dyDescent="0.25">
      <c r="A170" s="8" t="str">
        <f>"            &lt;number-of-prb&gt;"&amp;'Control-Sheet'!$E53&amp;"&lt;/number-of-prb&gt;"</f>
        <v xml:space="preserve">            &lt;number-of-prb&gt;&lt;/number-of-prb&gt;</v>
      </c>
    </row>
    <row r="171" spans="1:1" x14ac:dyDescent="0.25">
      <c r="A171" s="1" t="s">
        <v>176</v>
      </c>
    </row>
    <row r="172" spans="1:1" x14ac:dyDescent="0.25">
      <c r="A172" s="1" t="s">
        <v>195</v>
      </c>
    </row>
    <row r="173" spans="1:1" x14ac:dyDescent="0.25">
      <c r="A173" s="8" t="str">
        <f>"            &lt;scs&gt;"&amp;'Control-Sheet'!$D53&amp;"&lt;/scs&gt;"</f>
        <v xml:space="preserve">            &lt;scs&gt;KHZ_15&lt;/scs&gt;</v>
      </c>
    </row>
    <row r="174" spans="1:1" x14ac:dyDescent="0.25">
      <c r="A174" s="8" t="str">
        <f>"            &lt;ul-fft-sampling-offset&gt;"&amp;'Control-Sheet'!$F53&amp;"&lt;/ul-fft-sampling-offset&gt;"</f>
        <v xml:space="preserve">            &lt;ul-fft-sampling-offset&gt;0&lt;/ul-fft-sampling-offset&gt;</v>
      </c>
    </row>
    <row r="175" spans="1:1" x14ac:dyDescent="0.25">
      <c r="A175" s="1" t="s">
        <v>196</v>
      </c>
    </row>
    <row r="176" spans="1:1" x14ac:dyDescent="0.25">
      <c r="A176" s="1" t="s">
        <v>177</v>
      </c>
    </row>
    <row r="177" spans="1:1" x14ac:dyDescent="0.25">
      <c r="A177" s="1" t="s">
        <v>178</v>
      </c>
    </row>
    <row r="178" spans="1:1" x14ac:dyDescent="0.25">
      <c r="A178" s="1" t="s">
        <v>179</v>
      </c>
    </row>
    <row r="179" spans="1:1" x14ac:dyDescent="0.25">
      <c r="A179" s="1" t="s">
        <v>180</v>
      </c>
    </row>
    <row r="180" spans="1:1" x14ac:dyDescent="0.25">
      <c r="A180" s="1" t="s">
        <v>181</v>
      </c>
    </row>
    <row r="181" spans="1:1" x14ac:dyDescent="0.25">
      <c r="A181" s="8" t="str">
        <f>"            &lt;eaxc-id&gt;"&amp;'Control-Sheet'!$G53&amp;"&lt;/eaxc-id&gt;"</f>
        <v xml:space="preserve">            &lt;eaxc-id&gt;38&lt;/eaxc-id&gt;</v>
      </c>
    </row>
    <row r="182" spans="1:1" x14ac:dyDescent="0.25">
      <c r="A182" s="1" t="s">
        <v>182</v>
      </c>
    </row>
    <row r="183" spans="1:1" x14ac:dyDescent="0.25">
      <c r="A183" s="1" t="s">
        <v>197</v>
      </c>
    </row>
    <row r="184" spans="1:1" x14ac:dyDescent="0.25">
      <c r="A184" s="3" t="s">
        <v>201</v>
      </c>
    </row>
    <row r="185" spans="1:1" x14ac:dyDescent="0.25">
      <c r="A185" s="18" t="str">
        <f>"          &lt;name&gt;"&amp;'Control-Sheet'!$H53&amp;"&lt;/name&gt;"</f>
        <v xml:space="preserve">          &lt;name&gt;llre_0_0_0_3_1_0&lt;/name&gt;</v>
      </c>
    </row>
    <row r="186" spans="1:1" x14ac:dyDescent="0.25">
      <c r="A186" s="18" t="str">
        <f>"          &lt;processing-element&gt;"&amp;'Control-Sheet'!$I53&amp;"&lt;/processing-element&gt;"</f>
        <v xml:space="preserve">          &lt;processing-element&gt;ru-pe.0&lt;/processing-element&gt;</v>
      </c>
    </row>
    <row r="187" spans="1:1" x14ac:dyDescent="0.25">
      <c r="A187" s="18" t="str">
        <f>"          &lt;rx-array-carrier&gt;"&amp;'Control-Sheet'!$J53&amp;"&lt;/rx-array-carrier&gt;"</f>
        <v xml:space="preserve">          &lt;rx-array-carrier&gt;rac_0_0_0_3&lt;/rx-array-carrier&gt;</v>
      </c>
    </row>
    <row r="188" spans="1:1" x14ac:dyDescent="0.25">
      <c r="A188" s="18" t="str">
        <f>"          &lt;low-level-rx-endpoint&gt;"&amp;'Control-Sheet'!$K53&amp;"&lt;/low-level-rx-endpoint&gt;"</f>
        <v xml:space="preserve">          &lt;low-level-rx-endpoint&gt;llre_0_0_0_3_1_0&lt;/low-level-rx-endpoint&gt;</v>
      </c>
    </row>
    <row r="189" spans="1:1" x14ac:dyDescent="0.25">
      <c r="A189" s="3" t="s">
        <v>202</v>
      </c>
    </row>
    <row r="190" spans="1:1" x14ac:dyDescent="0.25">
      <c r="A190" t="str">
        <f>_xlfn.IFS('Control-Sheet'!$A$27="OFF", 'Control-Sheet'!$K$6, TRUE, "")</f>
        <v/>
      </c>
    </row>
    <row r="191" spans="1:1" x14ac:dyDescent="0.25">
      <c r="A191" t="str">
        <f>_xlfn.IFS('Control-Sheet'!$A$28="OFF", 'Control-Sheet'!$K$5, TRUE, "")</f>
        <v/>
      </c>
    </row>
    <row r="192" spans="1:1" x14ac:dyDescent="0.25">
      <c r="A192" s="1" t="s">
        <v>194</v>
      </c>
    </row>
    <row r="193" spans="1:1" x14ac:dyDescent="0.25">
      <c r="A193" s="8" t="str">
        <f>"            &lt;name&gt;"&amp;'Control-Sheet'!$C54&amp;"&lt;/name&gt;"</f>
        <v xml:space="preserve">            &lt;name&gt;llre_0_0_1_3_1_0&lt;/name&gt;</v>
      </c>
    </row>
    <row r="194" spans="1:1" x14ac:dyDescent="0.25">
      <c r="A194" s="1" t="s">
        <v>167</v>
      </c>
    </row>
    <row r="195" spans="1:1" x14ac:dyDescent="0.25">
      <c r="A195" s="1" t="s">
        <v>168</v>
      </c>
    </row>
    <row r="196" spans="1:1" x14ac:dyDescent="0.25">
      <c r="A196" s="7" t="str">
        <f>_xlfn.IFS('Control-Sheet'!M54="exponent", 'Control-Sheet'!$G$5, 'Control-Sheet'!M54="BFP", 'Control-Sheet'!$G$6, TRUE, "")</f>
        <v/>
      </c>
    </row>
    <row r="197" spans="1:1" x14ac:dyDescent="0.25">
      <c r="A197" s="7" t="str">
        <f>"          &lt;iq-bitwidth&gt;"&amp;'Control-Sheet'!L54&amp;"&lt;/iq-bitwidth&gt;"</f>
        <v xml:space="preserve">          &lt;iq-bitwidth&gt;16&lt;/iq-bitwidth&gt;</v>
      </c>
    </row>
    <row r="198" spans="1:1" x14ac:dyDescent="0.25">
      <c r="A198" s="1" t="s">
        <v>169</v>
      </c>
    </row>
    <row r="199" spans="1:1" x14ac:dyDescent="0.25">
      <c r="A199" s="1" t="s">
        <v>170</v>
      </c>
    </row>
    <row r="200" spans="1:1" x14ac:dyDescent="0.25">
      <c r="A200" s="1" t="s">
        <v>171</v>
      </c>
    </row>
    <row r="201" spans="1:1" x14ac:dyDescent="0.25">
      <c r="A201" s="1" t="s">
        <v>172</v>
      </c>
    </row>
    <row r="202" spans="1:1" x14ac:dyDescent="0.25">
      <c r="A202" s="1" t="s">
        <v>173</v>
      </c>
    </row>
    <row r="203" spans="1:1" x14ac:dyDescent="0.25">
      <c r="A203" s="1" t="s">
        <v>174</v>
      </c>
    </row>
    <row r="204" spans="1:1" x14ac:dyDescent="0.25">
      <c r="A204" s="1" t="s">
        <v>175</v>
      </c>
    </row>
    <row r="205" spans="1:1" x14ac:dyDescent="0.25">
      <c r="A205" s="8" t="str">
        <f>"            &lt;scs&gt;"&amp;'Control-Sheet'!$D54&amp;"&lt;/scs&gt;"</f>
        <v xml:space="preserve">            &lt;scs&gt;KHZ_15&lt;/scs&gt;</v>
      </c>
    </row>
    <row r="206" spans="1:1" x14ac:dyDescent="0.25">
      <c r="A206" s="8" t="str">
        <f>"            &lt;number-of-prb&gt;"&amp;'Control-Sheet'!$E54&amp;"&lt;/number-of-prb&gt;"</f>
        <v xml:space="preserve">            &lt;number-of-prb&gt;&lt;/number-of-prb&gt;</v>
      </c>
    </row>
    <row r="207" spans="1:1" x14ac:dyDescent="0.25">
      <c r="A207" s="1" t="s">
        <v>176</v>
      </c>
    </row>
    <row r="208" spans="1:1" x14ac:dyDescent="0.25">
      <c r="A208" s="1" t="s">
        <v>195</v>
      </c>
    </row>
    <row r="209" spans="1:1" x14ac:dyDescent="0.25">
      <c r="A209" s="8" t="str">
        <f>"            &lt;scs&gt;"&amp;'Control-Sheet'!$D54&amp;"&lt;/scs&gt;"</f>
        <v xml:space="preserve">            &lt;scs&gt;KHZ_15&lt;/scs&gt;</v>
      </c>
    </row>
    <row r="210" spans="1:1" x14ac:dyDescent="0.25">
      <c r="A210" s="8" t="str">
        <f>"            &lt;ul-fft-sampling-offset&gt;"&amp;'Control-Sheet'!$F54&amp;"&lt;/ul-fft-sampling-offset&gt;"</f>
        <v xml:space="preserve">            &lt;ul-fft-sampling-offset&gt;0&lt;/ul-fft-sampling-offset&gt;</v>
      </c>
    </row>
    <row r="211" spans="1:1" x14ac:dyDescent="0.25">
      <c r="A211" s="1" t="s">
        <v>196</v>
      </c>
    </row>
    <row r="212" spans="1:1" x14ac:dyDescent="0.25">
      <c r="A212" s="1" t="s">
        <v>177</v>
      </c>
    </row>
    <row r="213" spans="1:1" x14ac:dyDescent="0.25">
      <c r="A213" s="1" t="s">
        <v>178</v>
      </c>
    </row>
    <row r="214" spans="1:1" x14ac:dyDescent="0.25">
      <c r="A214" s="1" t="s">
        <v>179</v>
      </c>
    </row>
    <row r="215" spans="1:1" x14ac:dyDescent="0.25">
      <c r="A215" s="1" t="s">
        <v>180</v>
      </c>
    </row>
    <row r="216" spans="1:1" x14ac:dyDescent="0.25">
      <c r="A216" s="1" t="s">
        <v>181</v>
      </c>
    </row>
    <row r="217" spans="1:1" x14ac:dyDescent="0.25">
      <c r="A217" s="8" t="str">
        <f>"            &lt;eaxc-id&gt;"&amp;'Control-Sheet'!$G54&amp;"&lt;/eaxc-id&gt;"</f>
        <v xml:space="preserve">            &lt;eaxc-id&gt;39&lt;/eaxc-id&gt;</v>
      </c>
    </row>
    <row r="218" spans="1:1" x14ac:dyDescent="0.25">
      <c r="A218" s="1" t="s">
        <v>182</v>
      </c>
    </row>
    <row r="219" spans="1:1" x14ac:dyDescent="0.25">
      <c r="A219" s="1" t="s">
        <v>197</v>
      </c>
    </row>
    <row r="220" spans="1:1" x14ac:dyDescent="0.25">
      <c r="A220" s="3" t="s">
        <v>201</v>
      </c>
    </row>
    <row r="221" spans="1:1" x14ac:dyDescent="0.25">
      <c r="A221" s="18" t="str">
        <f>"          &lt;name&gt;"&amp;'Control-Sheet'!$H54&amp;"&lt;/name&gt;"</f>
        <v xml:space="preserve">          &lt;name&gt;llre_0_0_1_3_1_0&lt;/name&gt;</v>
      </c>
    </row>
    <row r="222" spans="1:1" x14ac:dyDescent="0.25">
      <c r="A222" s="18" t="str">
        <f>"          &lt;processing-element&gt;"&amp;'Control-Sheet'!$I54&amp;"&lt;/processing-element&gt;"</f>
        <v xml:space="preserve">          &lt;processing-element&gt;ru-pe.0&lt;/processing-element&gt;</v>
      </c>
    </row>
    <row r="223" spans="1:1" x14ac:dyDescent="0.25">
      <c r="A223" s="18" t="str">
        <f>"          &lt;rx-array-carrier&gt;"&amp;'Control-Sheet'!$J54&amp;"&lt;/rx-array-carrier&gt;"</f>
        <v xml:space="preserve">          &lt;rx-array-carrier&gt;rac_0_0_1_3&lt;/rx-array-carrier&gt;</v>
      </c>
    </row>
    <row r="224" spans="1:1" x14ac:dyDescent="0.25">
      <c r="A224" s="18" t="str">
        <f>"          &lt;low-level-rx-endpoint&gt;"&amp;'Control-Sheet'!$K54&amp;"&lt;/low-level-rx-endpoint&gt;"</f>
        <v xml:space="preserve">          &lt;low-level-rx-endpoint&gt;llre_0_0_1_3_1_0&lt;/low-level-rx-endpoint&gt;</v>
      </c>
    </row>
    <row r="225" spans="1:1" x14ac:dyDescent="0.25">
      <c r="A225" s="3" t="s">
        <v>202</v>
      </c>
    </row>
    <row r="226" spans="1:1" x14ac:dyDescent="0.25">
      <c r="A226" t="str">
        <f>_xlfn.IFS('Control-Sheet'!$A$28="OFF", 'Control-Sheet'!$K$6, TRUE, "")</f>
        <v/>
      </c>
    </row>
    <row r="227" spans="1:1" x14ac:dyDescent="0.25">
      <c r="A227" t="str">
        <f>_xlfn.IFS('Control-Sheet'!$A$29="OFF", 'Control-Sheet'!$K$5, TRUE, "")</f>
        <v/>
      </c>
    </row>
    <row r="228" spans="1:1" x14ac:dyDescent="0.25">
      <c r="A228" s="1" t="s">
        <v>194</v>
      </c>
    </row>
    <row r="229" spans="1:1" x14ac:dyDescent="0.25">
      <c r="A229" s="8" t="str">
        <f>"            &lt;name&gt;"&amp;'Control-Sheet'!$C55&amp;"&lt;/name&gt;"</f>
        <v xml:space="preserve">            &lt;name&gt;llre_0_0_0_4_1_0&lt;/name&gt;</v>
      </c>
    </row>
    <row r="230" spans="1:1" x14ac:dyDescent="0.25">
      <c r="A230" s="1" t="s">
        <v>167</v>
      </c>
    </row>
    <row r="231" spans="1:1" x14ac:dyDescent="0.25">
      <c r="A231" s="1" t="s">
        <v>168</v>
      </c>
    </row>
    <row r="232" spans="1:1" x14ac:dyDescent="0.25">
      <c r="A232" s="7" t="str">
        <f>_xlfn.IFS('Control-Sheet'!M55="exponent", 'Control-Sheet'!$G$5, 'Control-Sheet'!M55="BFP", 'Control-Sheet'!$G$6, TRUE, "")</f>
        <v/>
      </c>
    </row>
    <row r="233" spans="1:1" x14ac:dyDescent="0.25">
      <c r="A233" s="7" t="str">
        <f>"          &lt;iq-bitwidth&gt;"&amp;'Control-Sheet'!L55&amp;"&lt;/iq-bitwidth&gt;"</f>
        <v xml:space="preserve">          &lt;iq-bitwidth&gt;16&lt;/iq-bitwidth&gt;</v>
      </c>
    </row>
    <row r="234" spans="1:1" x14ac:dyDescent="0.25">
      <c r="A234" s="1" t="s">
        <v>169</v>
      </c>
    </row>
    <row r="235" spans="1:1" x14ac:dyDescent="0.25">
      <c r="A235" s="1" t="s">
        <v>170</v>
      </c>
    </row>
    <row r="236" spans="1:1" x14ac:dyDescent="0.25">
      <c r="A236" s="1" t="s">
        <v>171</v>
      </c>
    </row>
    <row r="237" spans="1:1" x14ac:dyDescent="0.25">
      <c r="A237" s="1" t="s">
        <v>172</v>
      </c>
    </row>
    <row r="238" spans="1:1" x14ac:dyDescent="0.25">
      <c r="A238" s="1" t="s">
        <v>173</v>
      </c>
    </row>
    <row r="239" spans="1:1" x14ac:dyDescent="0.25">
      <c r="A239" s="1" t="s">
        <v>174</v>
      </c>
    </row>
    <row r="240" spans="1:1" x14ac:dyDescent="0.25">
      <c r="A240" s="1" t="s">
        <v>175</v>
      </c>
    </row>
    <row r="241" spans="1:1" x14ac:dyDescent="0.25">
      <c r="A241" s="8" t="str">
        <f>"            &lt;scs&gt;"&amp;'Control-Sheet'!$D55&amp;"&lt;/scs&gt;"</f>
        <v xml:space="preserve">            &lt;scs&gt;KHZ_15&lt;/scs&gt;</v>
      </c>
    </row>
    <row r="242" spans="1:1" x14ac:dyDescent="0.25">
      <c r="A242" s="8" t="str">
        <f>"            &lt;number-of-prb&gt;"&amp;'Control-Sheet'!$E55&amp;"&lt;/number-of-prb&gt;"</f>
        <v xml:space="preserve">            &lt;number-of-prb&gt;&lt;/number-of-prb&gt;</v>
      </c>
    </row>
    <row r="243" spans="1:1" x14ac:dyDescent="0.25">
      <c r="A243" s="1" t="s">
        <v>176</v>
      </c>
    </row>
    <row r="244" spans="1:1" x14ac:dyDescent="0.25">
      <c r="A244" s="1" t="s">
        <v>195</v>
      </c>
    </row>
    <row r="245" spans="1:1" x14ac:dyDescent="0.25">
      <c r="A245" s="8" t="str">
        <f>"            &lt;scs&gt;"&amp;'Control-Sheet'!$D55&amp;"&lt;/scs&gt;"</f>
        <v xml:space="preserve">            &lt;scs&gt;KHZ_15&lt;/scs&gt;</v>
      </c>
    </row>
    <row r="246" spans="1:1" x14ac:dyDescent="0.25">
      <c r="A246" s="8" t="str">
        <f>"            &lt;ul-fft-sampling-offset&gt;"&amp;'Control-Sheet'!$F55&amp;"&lt;/ul-fft-sampling-offset&gt;"</f>
        <v xml:space="preserve">            &lt;ul-fft-sampling-offset&gt;0&lt;/ul-fft-sampling-offset&gt;</v>
      </c>
    </row>
    <row r="247" spans="1:1" x14ac:dyDescent="0.25">
      <c r="A247" s="1" t="s">
        <v>196</v>
      </c>
    </row>
    <row r="248" spans="1:1" x14ac:dyDescent="0.25">
      <c r="A248" s="1" t="s">
        <v>177</v>
      </c>
    </row>
    <row r="249" spans="1:1" x14ac:dyDescent="0.25">
      <c r="A249" s="1" t="s">
        <v>178</v>
      </c>
    </row>
    <row r="250" spans="1:1" x14ac:dyDescent="0.25">
      <c r="A250" s="1" t="s">
        <v>179</v>
      </c>
    </row>
    <row r="251" spans="1:1" x14ac:dyDescent="0.25">
      <c r="A251" s="1" t="s">
        <v>180</v>
      </c>
    </row>
    <row r="252" spans="1:1" x14ac:dyDescent="0.25">
      <c r="A252" s="1" t="s">
        <v>181</v>
      </c>
    </row>
    <row r="253" spans="1:1" x14ac:dyDescent="0.25">
      <c r="A253" s="8" t="str">
        <f>"            &lt;eaxc-id&gt;"&amp;'Control-Sheet'!$G55&amp;"&lt;/eaxc-id&gt;"</f>
        <v xml:space="preserve">            &lt;eaxc-id&gt;40&lt;/eaxc-id&gt;</v>
      </c>
    </row>
    <row r="254" spans="1:1" x14ac:dyDescent="0.25">
      <c r="A254" s="1" t="s">
        <v>182</v>
      </c>
    </row>
    <row r="255" spans="1:1" x14ac:dyDescent="0.25">
      <c r="A255" s="1" t="s">
        <v>197</v>
      </c>
    </row>
    <row r="256" spans="1:1" x14ac:dyDescent="0.25">
      <c r="A256" s="3" t="s">
        <v>201</v>
      </c>
    </row>
    <row r="257" spans="1:1" x14ac:dyDescent="0.25">
      <c r="A257" s="18" t="str">
        <f>"          &lt;name&gt;"&amp;'Control-Sheet'!$H55&amp;"&lt;/name&gt;"</f>
        <v xml:space="preserve">          &lt;name&gt;llre_0_0_0_4_1_0&lt;/name&gt;</v>
      </c>
    </row>
    <row r="258" spans="1:1" x14ac:dyDescent="0.25">
      <c r="A258" s="18" t="str">
        <f>"          &lt;processing-element&gt;"&amp;'Control-Sheet'!$I55&amp;"&lt;/processing-element&gt;"</f>
        <v xml:space="preserve">          &lt;processing-element&gt;ru-pe.0&lt;/processing-element&gt;</v>
      </c>
    </row>
    <row r="259" spans="1:1" x14ac:dyDescent="0.25">
      <c r="A259" s="18" t="str">
        <f>"          &lt;rx-array-carrier&gt;"&amp;'Control-Sheet'!$J55&amp;"&lt;/rx-array-carrier&gt;"</f>
        <v xml:space="preserve">          &lt;rx-array-carrier&gt;rac_0_0_0_4&lt;/rx-array-carrier&gt;</v>
      </c>
    </row>
    <row r="260" spans="1:1" x14ac:dyDescent="0.25">
      <c r="A260" s="18" t="str">
        <f>"          &lt;low-level-rx-endpoint&gt;"&amp;'Control-Sheet'!$K55&amp;"&lt;/low-level-rx-endpoint&gt;"</f>
        <v xml:space="preserve">          &lt;low-level-rx-endpoint&gt;llre_0_0_0_4_1_0&lt;/low-level-rx-endpoint&gt;</v>
      </c>
    </row>
    <row r="261" spans="1:1" x14ac:dyDescent="0.25">
      <c r="A261" s="3" t="s">
        <v>202</v>
      </c>
    </row>
    <row r="262" spans="1:1" x14ac:dyDescent="0.25">
      <c r="A262" t="str">
        <f>_xlfn.IFS('Control-Sheet'!$A$29="OFF", 'Control-Sheet'!$K$6, TRUE, "")</f>
        <v/>
      </c>
    </row>
    <row r="263" spans="1:1" x14ac:dyDescent="0.25">
      <c r="A263" t="str">
        <f>_xlfn.IFS('Control-Sheet'!$A$30="OFF", 'Control-Sheet'!$K$5, TRUE, "")</f>
        <v/>
      </c>
    </row>
    <row r="264" spans="1:1" x14ac:dyDescent="0.25">
      <c r="A264" s="1" t="s">
        <v>194</v>
      </c>
    </row>
    <row r="265" spans="1:1" x14ac:dyDescent="0.25">
      <c r="A265" s="8" t="str">
        <f>"            &lt;name&gt;"&amp;'Control-Sheet'!$C56&amp;"&lt;/name&gt;"</f>
        <v xml:space="preserve">            &lt;name&gt;llre_0_0_1_4_1_0&lt;/name&gt;</v>
      </c>
    </row>
    <row r="266" spans="1:1" x14ac:dyDescent="0.25">
      <c r="A266" s="1" t="s">
        <v>167</v>
      </c>
    </row>
    <row r="267" spans="1:1" x14ac:dyDescent="0.25">
      <c r="A267" s="1" t="s">
        <v>168</v>
      </c>
    </row>
    <row r="268" spans="1:1" x14ac:dyDescent="0.25">
      <c r="A268" s="7" t="str">
        <f>_xlfn.IFS('Control-Sheet'!M56="exponent", 'Control-Sheet'!$G$5, 'Control-Sheet'!M56="BFP", 'Control-Sheet'!$G$6, TRUE, "")</f>
        <v/>
      </c>
    </row>
    <row r="269" spans="1:1" x14ac:dyDescent="0.25">
      <c r="A269" s="7" t="str">
        <f>"          &lt;iq-bitwidth&gt;"&amp;'Control-Sheet'!L56&amp;"&lt;/iq-bitwidth&gt;"</f>
        <v xml:space="preserve">          &lt;iq-bitwidth&gt;16&lt;/iq-bitwidth&gt;</v>
      </c>
    </row>
    <row r="270" spans="1:1" x14ac:dyDescent="0.25">
      <c r="A270" s="1" t="s">
        <v>169</v>
      </c>
    </row>
    <row r="271" spans="1:1" x14ac:dyDescent="0.25">
      <c r="A271" s="1" t="s">
        <v>170</v>
      </c>
    </row>
    <row r="272" spans="1:1" x14ac:dyDescent="0.25">
      <c r="A272" s="1" t="s">
        <v>171</v>
      </c>
    </row>
    <row r="273" spans="1:1" x14ac:dyDescent="0.25">
      <c r="A273" s="1" t="s">
        <v>172</v>
      </c>
    </row>
    <row r="274" spans="1:1" x14ac:dyDescent="0.25">
      <c r="A274" s="1" t="s">
        <v>173</v>
      </c>
    </row>
    <row r="275" spans="1:1" x14ac:dyDescent="0.25">
      <c r="A275" s="1" t="s">
        <v>174</v>
      </c>
    </row>
    <row r="276" spans="1:1" x14ac:dyDescent="0.25">
      <c r="A276" s="1" t="s">
        <v>175</v>
      </c>
    </row>
    <row r="277" spans="1:1" x14ac:dyDescent="0.25">
      <c r="A277" s="8" t="str">
        <f>"            &lt;scs&gt;"&amp;'Control-Sheet'!$D56&amp;"&lt;/scs&gt;"</f>
        <v xml:space="preserve">            &lt;scs&gt;KHZ_15&lt;/scs&gt;</v>
      </c>
    </row>
    <row r="278" spans="1:1" x14ac:dyDescent="0.25">
      <c r="A278" s="8" t="str">
        <f>"            &lt;number-of-prb&gt;"&amp;'Control-Sheet'!$E56&amp;"&lt;/number-of-prb&gt;"</f>
        <v xml:space="preserve">            &lt;number-of-prb&gt;&lt;/number-of-prb&gt;</v>
      </c>
    </row>
    <row r="279" spans="1:1" x14ac:dyDescent="0.25">
      <c r="A279" s="1" t="s">
        <v>176</v>
      </c>
    </row>
    <row r="280" spans="1:1" x14ac:dyDescent="0.25">
      <c r="A280" s="1" t="s">
        <v>195</v>
      </c>
    </row>
    <row r="281" spans="1:1" x14ac:dyDescent="0.25">
      <c r="A281" s="8" t="str">
        <f>"            &lt;scs&gt;"&amp;'Control-Sheet'!$D56&amp;"&lt;/scs&gt;"</f>
        <v xml:space="preserve">            &lt;scs&gt;KHZ_15&lt;/scs&gt;</v>
      </c>
    </row>
    <row r="282" spans="1:1" x14ac:dyDescent="0.25">
      <c r="A282" s="8" t="str">
        <f>"            &lt;ul-fft-sampling-offset&gt;"&amp;'Control-Sheet'!$F56&amp;"&lt;/ul-fft-sampling-offset&gt;"</f>
        <v xml:space="preserve">            &lt;ul-fft-sampling-offset&gt;0&lt;/ul-fft-sampling-offset&gt;</v>
      </c>
    </row>
    <row r="283" spans="1:1" x14ac:dyDescent="0.25">
      <c r="A283" s="1" t="s">
        <v>196</v>
      </c>
    </row>
    <row r="284" spans="1:1" x14ac:dyDescent="0.25">
      <c r="A284" s="1" t="s">
        <v>177</v>
      </c>
    </row>
    <row r="285" spans="1:1" x14ac:dyDescent="0.25">
      <c r="A285" s="1" t="s">
        <v>178</v>
      </c>
    </row>
    <row r="286" spans="1:1" x14ac:dyDescent="0.25">
      <c r="A286" s="1" t="s">
        <v>179</v>
      </c>
    </row>
    <row r="287" spans="1:1" x14ac:dyDescent="0.25">
      <c r="A287" s="1" t="s">
        <v>180</v>
      </c>
    </row>
    <row r="288" spans="1:1" x14ac:dyDescent="0.25">
      <c r="A288" s="1" t="s">
        <v>181</v>
      </c>
    </row>
    <row r="289" spans="1:1" x14ac:dyDescent="0.25">
      <c r="A289" s="8" t="str">
        <f>"            &lt;eaxc-id&gt;"&amp;'Control-Sheet'!$G56&amp;"&lt;/eaxc-id&gt;"</f>
        <v xml:space="preserve">            &lt;eaxc-id&gt;41&lt;/eaxc-id&gt;</v>
      </c>
    </row>
    <row r="290" spans="1:1" x14ac:dyDescent="0.25">
      <c r="A290" s="1" t="s">
        <v>182</v>
      </c>
    </row>
    <row r="291" spans="1:1" x14ac:dyDescent="0.25">
      <c r="A291" s="1" t="s">
        <v>197</v>
      </c>
    </row>
    <row r="292" spans="1:1" x14ac:dyDescent="0.25">
      <c r="A292" s="3" t="s">
        <v>201</v>
      </c>
    </row>
    <row r="293" spans="1:1" x14ac:dyDescent="0.25">
      <c r="A293" s="18" t="str">
        <f>"          &lt;name&gt;"&amp;'Control-Sheet'!$H56&amp;"&lt;/name&gt;"</f>
        <v xml:space="preserve">          &lt;name&gt;llre_0_0_1_4_1_0&lt;/name&gt;</v>
      </c>
    </row>
    <row r="294" spans="1:1" x14ac:dyDescent="0.25">
      <c r="A294" s="18" t="str">
        <f>"          &lt;processing-element&gt;"&amp;'Control-Sheet'!$I56&amp;"&lt;/processing-element&gt;"</f>
        <v xml:space="preserve">          &lt;processing-element&gt;ru-pe.0&lt;/processing-element&gt;</v>
      </c>
    </row>
    <row r="295" spans="1:1" x14ac:dyDescent="0.25">
      <c r="A295" s="18" t="str">
        <f>"          &lt;rx-array-carrier&gt;"&amp;'Control-Sheet'!$J56&amp;"&lt;/rx-array-carrier&gt;"</f>
        <v xml:space="preserve">          &lt;rx-array-carrier&gt;rac_0_0_1_4&lt;/rx-array-carrier&gt;</v>
      </c>
    </row>
    <row r="296" spans="1:1" x14ac:dyDescent="0.25">
      <c r="A296" s="18" t="str">
        <f>"          &lt;low-level-rx-endpoint&gt;"&amp;'Control-Sheet'!$K56&amp;"&lt;/low-level-rx-endpoint&gt;"</f>
        <v xml:space="preserve">          &lt;low-level-rx-endpoint&gt;llre_0_0_1_4_1_0&lt;/low-level-rx-endpoint&gt;</v>
      </c>
    </row>
    <row r="297" spans="1:1" x14ac:dyDescent="0.25">
      <c r="A297" s="3" t="s">
        <v>202</v>
      </c>
    </row>
    <row r="298" spans="1:1" x14ac:dyDescent="0.25">
      <c r="A298" t="str">
        <f>_xlfn.IFS('Control-Sheet'!$A$30="OFF", 'Control-Sheet'!$K$6, TRUE, "")</f>
        <v/>
      </c>
    </row>
    <row r="299" spans="1:1" x14ac:dyDescent="0.25">
      <c r="A299"/>
    </row>
    <row r="300" spans="1:1" x14ac:dyDescent="0.25">
      <c r="A300"/>
    </row>
    <row r="301" spans="1:1" x14ac:dyDescent="0.25">
      <c r="A301" s="19" t="s">
        <v>192</v>
      </c>
    </row>
    <row r="302" spans="1:1" x14ac:dyDescent="0.25">
      <c r="A302" s="19" t="s">
        <v>152</v>
      </c>
    </row>
    <row r="303" spans="1:1" x14ac:dyDescent="0.25">
      <c r="A303" s="19" t="s">
        <v>153</v>
      </c>
    </row>
    <row r="304" spans="1:1" x14ac:dyDescent="0.25">
      <c r="A304" s="19" t="s">
        <v>154</v>
      </c>
    </row>
  </sheetData>
  <autoFilter ref="A1:A304" xr:uid="{00000000-0009-0000-0000-000005000000}"/>
  <phoneticPr fontId="3" type="noConversion"/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09"/>
  <sheetViews>
    <sheetView zoomScale="145" zoomScaleNormal="145" workbookViewId="0">
      <selection activeCell="A107" sqref="A107"/>
    </sheetView>
  </sheetViews>
  <sheetFormatPr defaultRowHeight="13.5" x14ac:dyDescent="0.25"/>
  <cols>
    <col min="1" max="1" width="64.85546875" style="29" bestFit="1" customWidth="1"/>
  </cols>
  <sheetData>
    <row r="1" spans="1:1" x14ac:dyDescent="0.25">
      <c r="A1" t="s">
        <v>203</v>
      </c>
    </row>
    <row r="2" spans="1:1" x14ac:dyDescent="0.25">
      <c r="A2" t="s">
        <v>138</v>
      </c>
    </row>
    <row r="3" spans="1:1" x14ac:dyDescent="0.25">
      <c r="A3" t="s">
        <v>139</v>
      </c>
    </row>
    <row r="4" spans="1:1" x14ac:dyDescent="0.25">
      <c r="A4" t="s">
        <v>140</v>
      </c>
    </row>
    <row r="5" spans="1:1" x14ac:dyDescent="0.25">
      <c r="A5" t="s">
        <v>141</v>
      </c>
    </row>
    <row r="6" spans="1:1" x14ac:dyDescent="0.25">
      <c r="A6" t="s">
        <v>143</v>
      </c>
    </row>
    <row r="7" spans="1:1" x14ac:dyDescent="0.25">
      <c r="A7" t="s">
        <v>165</v>
      </c>
    </row>
    <row r="9" spans="1:1" x14ac:dyDescent="0.25">
      <c r="A9" t="str">
        <f>_xlfn.IFS('Control-Sheet'!$A$23="OFF", 'Control-Sheet'!$K$5, TRUE, "")</f>
        <v/>
      </c>
    </row>
    <row r="10" spans="1:1" x14ac:dyDescent="0.25">
      <c r="A10" t="s">
        <v>184</v>
      </c>
    </row>
    <row r="11" spans="1:1" x14ac:dyDescent="0.25">
      <c r="A11" s="20" t="str">
        <f>"          &lt;name&gt;"&amp;'Control-Sheet'!$K25&amp;"&lt;/name&gt;"</f>
        <v xml:space="preserve">          &lt;name&gt;tac_0_0_0_2&lt;/name&gt;</v>
      </c>
    </row>
    <row r="12" spans="1:1" x14ac:dyDescent="0.25">
      <c r="A12" t="s">
        <v>204</v>
      </c>
    </row>
    <row r="13" spans="1:1" x14ac:dyDescent="0.25">
      <c r="A13" t="s">
        <v>189</v>
      </c>
    </row>
    <row r="14" spans="1:1" x14ac:dyDescent="0.25">
      <c r="A14" t="str">
        <f>_xlfn.IFS('Control-Sheet'!$A$23="OFF", 'Control-Sheet'!$K$6, TRUE, "")</f>
        <v/>
      </c>
    </row>
    <row r="15" spans="1:1" x14ac:dyDescent="0.25">
      <c r="A15" t="str">
        <f>_xlfn.IFS('Control-Sheet'!$A$24="OFF", 'Control-Sheet'!$K$5, TRUE, "")</f>
        <v/>
      </c>
    </row>
    <row r="16" spans="1:1" x14ac:dyDescent="0.25">
      <c r="A16" t="s">
        <v>184</v>
      </c>
    </row>
    <row r="17" spans="1:1" x14ac:dyDescent="0.25">
      <c r="A17" s="20" t="str">
        <f>"          &lt;name&gt;"&amp;'Control-Sheet'!$K25&amp;"&lt;/name&gt;"</f>
        <v xml:space="preserve">          &lt;name&gt;tac_0_0_0_2&lt;/name&gt;</v>
      </c>
    </row>
    <row r="18" spans="1:1" x14ac:dyDescent="0.25">
      <c r="A18" t="s">
        <v>204</v>
      </c>
    </row>
    <row r="19" spans="1:1" x14ac:dyDescent="0.25">
      <c r="A19" t="s">
        <v>189</v>
      </c>
    </row>
    <row r="20" spans="1:1" x14ac:dyDescent="0.25">
      <c r="A20" t="str">
        <f>_xlfn.IFS('Control-Sheet'!$A$24="OFF", 'Control-Sheet'!$K$6, TRUE, "")</f>
        <v/>
      </c>
    </row>
    <row r="21" spans="1:1" x14ac:dyDescent="0.25">
      <c r="A21" t="str">
        <f>_xlfn.IFS('Control-Sheet'!$A$25="OFF", 'Control-Sheet'!$K$5, TRUE, "")</f>
        <v/>
      </c>
    </row>
    <row r="22" spans="1:1" x14ac:dyDescent="0.25">
      <c r="A22" t="s">
        <v>184</v>
      </c>
    </row>
    <row r="23" spans="1:1" x14ac:dyDescent="0.25">
      <c r="A23" s="20" t="str">
        <f>"          &lt;name&gt;"&amp;'Control-Sheet'!$K25&amp;"&lt;/name&gt;"</f>
        <v xml:space="preserve">          &lt;name&gt;tac_0_0_0_2&lt;/name&gt;</v>
      </c>
    </row>
    <row r="24" spans="1:1" x14ac:dyDescent="0.25">
      <c r="A24" t="s">
        <v>204</v>
      </c>
    </row>
    <row r="25" spans="1:1" x14ac:dyDescent="0.25">
      <c r="A25" t="s">
        <v>189</v>
      </c>
    </row>
    <row r="26" spans="1:1" x14ac:dyDescent="0.25">
      <c r="A26" t="str">
        <f>_xlfn.IFS('Control-Sheet'!$A$25="OFF", 'Control-Sheet'!$K$6, TRUE, "")</f>
        <v/>
      </c>
    </row>
    <row r="27" spans="1:1" x14ac:dyDescent="0.25">
      <c r="A27" t="str">
        <f>_xlfn.IFS('Control-Sheet'!$A$26="OFF", 'Control-Sheet'!$K$5, TRUE, "")</f>
        <v/>
      </c>
    </row>
    <row r="28" spans="1:1" x14ac:dyDescent="0.25">
      <c r="A28" t="s">
        <v>184</v>
      </c>
    </row>
    <row r="29" spans="1:1" x14ac:dyDescent="0.25">
      <c r="A29" s="20" t="str">
        <f>"          &lt;name&gt;"&amp;'Control-Sheet'!$K26&amp;"&lt;/name&gt;"</f>
        <v xml:space="preserve">          &lt;name&gt;tac_0_0_1_2&lt;/name&gt;</v>
      </c>
    </row>
    <row r="30" spans="1:1" x14ac:dyDescent="0.25">
      <c r="A30" t="s">
        <v>204</v>
      </c>
    </row>
    <row r="31" spans="1:1" x14ac:dyDescent="0.25">
      <c r="A31" t="s">
        <v>189</v>
      </c>
    </row>
    <row r="32" spans="1:1" x14ac:dyDescent="0.25">
      <c r="A32" t="str">
        <f>_xlfn.IFS('Control-Sheet'!$A$26="OFF", 'Control-Sheet'!$K$6, TRUE, "")</f>
        <v/>
      </c>
    </row>
    <row r="33" spans="1:1" x14ac:dyDescent="0.25">
      <c r="A33" t="str">
        <f>_xlfn.IFS('Control-Sheet'!$A$27="OFF", 'Control-Sheet'!$K$5, TRUE, "")</f>
        <v/>
      </c>
    </row>
    <row r="34" spans="1:1" x14ac:dyDescent="0.25">
      <c r="A34" t="s">
        <v>184</v>
      </c>
    </row>
    <row r="35" spans="1:1" x14ac:dyDescent="0.25">
      <c r="A35" s="20" t="str">
        <f>"          &lt;name&gt;"&amp;'Control-Sheet'!$K27&amp;"&lt;/name&gt;"</f>
        <v xml:space="preserve">          &lt;name&gt;tac_0_0_0_3&lt;/name&gt;</v>
      </c>
    </row>
    <row r="36" spans="1:1" x14ac:dyDescent="0.25">
      <c r="A36" t="s">
        <v>204</v>
      </c>
    </row>
    <row r="37" spans="1:1" x14ac:dyDescent="0.25">
      <c r="A37" t="s">
        <v>189</v>
      </c>
    </row>
    <row r="38" spans="1:1" x14ac:dyDescent="0.25">
      <c r="A38" t="str">
        <f>_xlfn.IFS('Control-Sheet'!$A$27="OFF", 'Control-Sheet'!$K$6, TRUE, "")</f>
        <v/>
      </c>
    </row>
    <row r="39" spans="1:1" x14ac:dyDescent="0.25">
      <c r="A39" t="str">
        <f>_xlfn.IFS('Control-Sheet'!$A$28="OFF", 'Control-Sheet'!$K$5, TRUE, "")</f>
        <v/>
      </c>
    </row>
    <row r="40" spans="1:1" x14ac:dyDescent="0.25">
      <c r="A40" t="s">
        <v>184</v>
      </c>
    </row>
    <row r="41" spans="1:1" x14ac:dyDescent="0.25">
      <c r="A41" s="20" t="str">
        <f>"          &lt;name&gt;"&amp;'Control-Sheet'!$K28&amp;"&lt;/name&gt;"</f>
        <v xml:space="preserve">          &lt;name&gt;tac_0_0_1_3&lt;/name&gt;</v>
      </c>
    </row>
    <row r="42" spans="1:1" x14ac:dyDescent="0.25">
      <c r="A42" t="s">
        <v>204</v>
      </c>
    </row>
    <row r="43" spans="1:1" x14ac:dyDescent="0.25">
      <c r="A43" t="s">
        <v>189</v>
      </c>
    </row>
    <row r="44" spans="1:1" x14ac:dyDescent="0.25">
      <c r="A44" t="str">
        <f>_xlfn.IFS('Control-Sheet'!$A$28="OFF", 'Control-Sheet'!$K$6, TRUE, "")</f>
        <v/>
      </c>
    </row>
    <row r="45" spans="1:1" x14ac:dyDescent="0.25">
      <c r="A45" t="str">
        <f>_xlfn.IFS('Control-Sheet'!$A$29="OFF", 'Control-Sheet'!$K$5, TRUE, "")</f>
        <v/>
      </c>
    </row>
    <row r="46" spans="1:1" x14ac:dyDescent="0.25">
      <c r="A46" t="s">
        <v>184</v>
      </c>
    </row>
    <row r="47" spans="1:1" x14ac:dyDescent="0.25">
      <c r="A47" s="20" t="str">
        <f>"          &lt;name&gt;"&amp;'Control-Sheet'!$K29&amp;"&lt;/name&gt;"</f>
        <v xml:space="preserve">          &lt;name&gt;tac_0_0_0_4&lt;/name&gt;</v>
      </c>
    </row>
    <row r="48" spans="1:1" x14ac:dyDescent="0.25">
      <c r="A48" t="s">
        <v>204</v>
      </c>
    </row>
    <row r="49" spans="1:2" x14ac:dyDescent="0.25">
      <c r="A49" t="s">
        <v>189</v>
      </c>
    </row>
    <row r="50" spans="1:2" x14ac:dyDescent="0.25">
      <c r="A50" t="str">
        <f>_xlfn.IFS('Control-Sheet'!$A$29="OFF", 'Control-Sheet'!$K$6, TRUE, "")</f>
        <v/>
      </c>
    </row>
    <row r="51" spans="1:2" x14ac:dyDescent="0.25">
      <c r="A51" t="str">
        <f>_xlfn.IFS('Control-Sheet'!$A$30="OFF", 'Control-Sheet'!$K$5, TRUE, "")</f>
        <v/>
      </c>
    </row>
    <row r="52" spans="1:2" x14ac:dyDescent="0.25">
      <c r="A52" t="s">
        <v>184</v>
      </c>
    </row>
    <row r="53" spans="1:2" x14ac:dyDescent="0.25">
      <c r="A53" s="20" t="str">
        <f>"          &lt;name&gt;"&amp;'Control-Sheet'!$K30&amp;"&lt;/name&gt;"</f>
        <v xml:space="preserve">          &lt;name&gt;tac_0_0_1_4&lt;/name&gt;</v>
      </c>
    </row>
    <row r="54" spans="1:2" x14ac:dyDescent="0.25">
      <c r="A54" t="s">
        <v>204</v>
      </c>
      <c r="B54" s="20"/>
    </row>
    <row r="55" spans="1:2" x14ac:dyDescent="0.25">
      <c r="A55" t="s">
        <v>189</v>
      </c>
    </row>
    <row r="56" spans="1:2" x14ac:dyDescent="0.25">
      <c r="A56" t="str">
        <f>_xlfn.IFS('Control-Sheet'!$A$30="OFF", 'Control-Sheet'!$K$6, TRUE, "")</f>
        <v/>
      </c>
    </row>
    <row r="57" spans="1:2" x14ac:dyDescent="0.25">
      <c r="A57" t="str">
        <f>_xlfn.IFS('Control-Sheet'!$A$23="OFF", 'Control-Sheet'!$K$5, TRUE, "")</f>
        <v/>
      </c>
    </row>
    <row r="58" spans="1:2" x14ac:dyDescent="0.25">
      <c r="A58" t="s">
        <v>198</v>
      </c>
    </row>
    <row r="59" spans="1:2" x14ac:dyDescent="0.25">
      <c r="A59" s="20" t="str">
        <f>"          &lt;name&gt;"&amp;'Control-Sheet'!$N36&amp;"&lt;/name&gt;"</f>
        <v xml:space="preserve">          &lt;name&gt;rac_0_0_0_1&lt;/name&gt;</v>
      </c>
    </row>
    <row r="60" spans="1:2" x14ac:dyDescent="0.25">
      <c r="A60" t="s">
        <v>204</v>
      </c>
    </row>
    <row r="61" spans="1:2" x14ac:dyDescent="0.25">
      <c r="A61" t="s">
        <v>200</v>
      </c>
    </row>
    <row r="62" spans="1:2" x14ac:dyDescent="0.25">
      <c r="A62" t="str">
        <f>_xlfn.IFS('Control-Sheet'!$A$23="OFF", 'Control-Sheet'!$K$6, TRUE, "")</f>
        <v/>
      </c>
    </row>
    <row r="63" spans="1:2" x14ac:dyDescent="0.25">
      <c r="A63" t="str">
        <f>_xlfn.IFS('Control-Sheet'!$A$24="OFF", 'Control-Sheet'!$K$5, TRUE, "")</f>
        <v/>
      </c>
    </row>
    <row r="64" spans="1:2" x14ac:dyDescent="0.25">
      <c r="A64" t="s">
        <v>198</v>
      </c>
    </row>
    <row r="65" spans="1:1" x14ac:dyDescent="0.25">
      <c r="A65" s="20" t="str">
        <f>"          &lt;name&gt;"&amp;'Control-Sheet'!$N37&amp;"&lt;/name&gt;"</f>
        <v xml:space="preserve">          &lt;name&gt;rac_0_0_1_1&lt;/name&gt;</v>
      </c>
    </row>
    <row r="66" spans="1:1" x14ac:dyDescent="0.25">
      <c r="A66" t="s">
        <v>204</v>
      </c>
    </row>
    <row r="67" spans="1:1" x14ac:dyDescent="0.25">
      <c r="A67" t="s">
        <v>200</v>
      </c>
    </row>
    <row r="68" spans="1:1" x14ac:dyDescent="0.25">
      <c r="A68" t="str">
        <f>_xlfn.IFS('Control-Sheet'!$A$24="OFF", 'Control-Sheet'!$K$6, TRUE, "")</f>
        <v/>
      </c>
    </row>
    <row r="69" spans="1:1" x14ac:dyDescent="0.25">
      <c r="A69" t="str">
        <f>_xlfn.IFS('Control-Sheet'!$A$25="OFF", 'Control-Sheet'!$K$5, TRUE, "")</f>
        <v/>
      </c>
    </row>
    <row r="70" spans="1:1" x14ac:dyDescent="0.25">
      <c r="A70" t="s">
        <v>198</v>
      </c>
    </row>
    <row r="71" spans="1:1" x14ac:dyDescent="0.25">
      <c r="A71" s="20" t="str">
        <f>"          &lt;name&gt;"&amp;'Control-Sheet'!$N38&amp;"&lt;/name&gt;"</f>
        <v xml:space="preserve">          &lt;name&gt;rac_0_0_0_2&lt;/name&gt;</v>
      </c>
    </row>
    <row r="72" spans="1:1" x14ac:dyDescent="0.25">
      <c r="A72" t="s">
        <v>204</v>
      </c>
    </row>
    <row r="73" spans="1:1" x14ac:dyDescent="0.25">
      <c r="A73" t="s">
        <v>200</v>
      </c>
    </row>
    <row r="74" spans="1:1" x14ac:dyDescent="0.25">
      <c r="A74" t="str">
        <f>_xlfn.IFS('Control-Sheet'!$A$25="OFF", 'Control-Sheet'!$K$6, TRUE, "")</f>
        <v/>
      </c>
    </row>
    <row r="75" spans="1:1" x14ac:dyDescent="0.25">
      <c r="A75" t="str">
        <f>_xlfn.IFS('Control-Sheet'!$A$26="OFF", 'Control-Sheet'!$K$5, TRUE, "")</f>
        <v/>
      </c>
    </row>
    <row r="76" spans="1:1" x14ac:dyDescent="0.25">
      <c r="A76" t="s">
        <v>198</v>
      </c>
    </row>
    <row r="77" spans="1:1" x14ac:dyDescent="0.25">
      <c r="A77" s="20" t="str">
        <f>"          &lt;name&gt;"&amp;'Control-Sheet'!$N39&amp;"&lt;/name&gt;"</f>
        <v xml:space="preserve">          &lt;name&gt;rac_0_0_1_2&lt;/name&gt;</v>
      </c>
    </row>
    <row r="78" spans="1:1" x14ac:dyDescent="0.25">
      <c r="A78" t="s">
        <v>204</v>
      </c>
    </row>
    <row r="79" spans="1:1" x14ac:dyDescent="0.25">
      <c r="A79" t="s">
        <v>200</v>
      </c>
    </row>
    <row r="80" spans="1:1" x14ac:dyDescent="0.25">
      <c r="A80" t="str">
        <f>_xlfn.IFS('Control-Sheet'!$A$26="OFF", 'Control-Sheet'!$K$6, TRUE, "")</f>
        <v/>
      </c>
    </row>
    <row r="81" spans="1:1" x14ac:dyDescent="0.25">
      <c r="A81" t="str">
        <f>_xlfn.IFS('Control-Sheet'!$A$27="OFF", 'Control-Sheet'!$K$5, TRUE, "")</f>
        <v/>
      </c>
    </row>
    <row r="82" spans="1:1" x14ac:dyDescent="0.25">
      <c r="A82" t="s">
        <v>198</v>
      </c>
    </row>
    <row r="83" spans="1:1" x14ac:dyDescent="0.25">
      <c r="A83" s="20" t="str">
        <f>"          &lt;name&gt;"&amp;'Control-Sheet'!$N40&amp;"&lt;/name&gt;"</f>
        <v xml:space="preserve">          &lt;name&gt;rac_0_0_0_3&lt;/name&gt;</v>
      </c>
    </row>
    <row r="84" spans="1:1" x14ac:dyDescent="0.25">
      <c r="A84" t="s">
        <v>204</v>
      </c>
    </row>
    <row r="85" spans="1:1" x14ac:dyDescent="0.25">
      <c r="A85" t="s">
        <v>200</v>
      </c>
    </row>
    <row r="86" spans="1:1" x14ac:dyDescent="0.25">
      <c r="A86" t="str">
        <f>_xlfn.IFS('Control-Sheet'!$A$27="OFF", 'Control-Sheet'!$K$6, TRUE, "")</f>
        <v/>
      </c>
    </row>
    <row r="87" spans="1:1" x14ac:dyDescent="0.25">
      <c r="A87" t="str">
        <f>_xlfn.IFS('Control-Sheet'!$A$28="OFF", 'Control-Sheet'!$K$5, TRUE, "")</f>
        <v/>
      </c>
    </row>
    <row r="88" spans="1:1" x14ac:dyDescent="0.25">
      <c r="A88" t="s">
        <v>198</v>
      </c>
    </row>
    <row r="89" spans="1:1" x14ac:dyDescent="0.25">
      <c r="A89" s="20" t="str">
        <f>"          &lt;name&gt;"&amp;'Control-Sheet'!$N41&amp;"&lt;/name&gt;"</f>
        <v xml:space="preserve">          &lt;name&gt;rac_0_0_1_3&lt;/name&gt;</v>
      </c>
    </row>
    <row r="90" spans="1:1" x14ac:dyDescent="0.25">
      <c r="A90" t="s">
        <v>204</v>
      </c>
    </row>
    <row r="91" spans="1:1" x14ac:dyDescent="0.25">
      <c r="A91" t="s">
        <v>200</v>
      </c>
    </row>
    <row r="92" spans="1:1" x14ac:dyDescent="0.25">
      <c r="A92" t="str">
        <f>_xlfn.IFS('Control-Sheet'!$A$28="OFF", 'Control-Sheet'!$K$6, TRUE, "")</f>
        <v/>
      </c>
    </row>
    <row r="93" spans="1:1" x14ac:dyDescent="0.25">
      <c r="A93" t="str">
        <f>_xlfn.IFS('Control-Sheet'!$A$29="OFF", 'Control-Sheet'!$K$5, TRUE, "")</f>
        <v/>
      </c>
    </row>
    <row r="94" spans="1:1" x14ac:dyDescent="0.25">
      <c r="A94" t="s">
        <v>198</v>
      </c>
    </row>
    <row r="95" spans="1:1" x14ac:dyDescent="0.25">
      <c r="A95" s="20" t="str">
        <f>"          &lt;name&gt;"&amp;'Control-Sheet'!$N42&amp;"&lt;/name&gt;"</f>
        <v xml:space="preserve">          &lt;name&gt;rac_0_0_0_4&lt;/name&gt;</v>
      </c>
    </row>
    <row r="96" spans="1:1" x14ac:dyDescent="0.25">
      <c r="A96" t="s">
        <v>204</v>
      </c>
    </row>
    <row r="97" spans="1:1" x14ac:dyDescent="0.25">
      <c r="A97" t="s">
        <v>200</v>
      </c>
    </row>
    <row r="98" spans="1:1" x14ac:dyDescent="0.25">
      <c r="A98" t="str">
        <f>_xlfn.IFS('Control-Sheet'!$A$29="OFF", 'Control-Sheet'!$K$6, TRUE, "")</f>
        <v/>
      </c>
    </row>
    <row r="99" spans="1:1" x14ac:dyDescent="0.25">
      <c r="A99" t="str">
        <f>_xlfn.IFS('Control-Sheet'!$A$30="OFF", 'Control-Sheet'!$K$5, TRUE, "")</f>
        <v/>
      </c>
    </row>
    <row r="100" spans="1:1" x14ac:dyDescent="0.25">
      <c r="A100" t="s">
        <v>198</v>
      </c>
    </row>
    <row r="101" spans="1:1" x14ac:dyDescent="0.25">
      <c r="A101" s="20" t="str">
        <f>"          &lt;name&gt;"&amp;'Control-Sheet'!$N43&amp;"&lt;/name&gt;"</f>
        <v xml:space="preserve">          &lt;name&gt;rac_0_0_1_4&lt;/name&gt;</v>
      </c>
    </row>
    <row r="102" spans="1:1" x14ac:dyDescent="0.25">
      <c r="A102" t="s">
        <v>204</v>
      </c>
    </row>
    <row r="103" spans="1:1" x14ac:dyDescent="0.25">
      <c r="A103" t="s">
        <v>200</v>
      </c>
    </row>
    <row r="104" spans="1:1" x14ac:dyDescent="0.25">
      <c r="A104" t="str">
        <f>_xlfn.IFS('Control-Sheet'!$A$30="OFF", 'Control-Sheet'!$K$6, TRUE, "")</f>
        <v/>
      </c>
    </row>
    <row r="105" spans="1:1" x14ac:dyDescent="0.25">
      <c r="A105"/>
    </row>
    <row r="106" spans="1:1" x14ac:dyDescent="0.25">
      <c r="A106" t="s">
        <v>192</v>
      </c>
    </row>
    <row r="107" spans="1:1" x14ac:dyDescent="0.25">
      <c r="A107" t="s">
        <v>152</v>
      </c>
    </row>
    <row r="108" spans="1:1" x14ac:dyDescent="0.25">
      <c r="A108" t="s">
        <v>153</v>
      </c>
    </row>
    <row r="109" spans="1:1" x14ac:dyDescent="0.25">
      <c r="A109" t="s">
        <v>154</v>
      </c>
    </row>
  </sheetData>
  <autoFilter ref="A1:A109" xr:uid="{00000000-0009-0000-0000-000006000000}"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7</vt:i4>
      </vt:variant>
    </vt:vector>
  </HeadingPairs>
  <TitlesOfParts>
    <vt:vector size="7" baseType="lpstr">
      <vt:lpstr>Control-Sheet</vt:lpstr>
      <vt:lpstr>CUplane-interface</vt:lpstr>
      <vt:lpstr>Processing-element</vt:lpstr>
      <vt:lpstr>PDSCH</vt:lpstr>
      <vt:lpstr>PUSCH</vt:lpstr>
      <vt:lpstr>PRACH</vt:lpstr>
      <vt:lpstr>ACTIVE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이봉수</dc:creator>
  <cp:lastModifiedBy>김경민(시스템스)</cp:lastModifiedBy>
  <dcterms:created xsi:type="dcterms:W3CDTF">2023-05-26T02:25:11Z</dcterms:created>
  <dcterms:modified xsi:type="dcterms:W3CDTF">2026-05-26T10:27:22Z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0x0101001D8C8101D2BD934AA719E62FA84EAD9E</vt:lpwstr>
  </property>
  <property fmtid="{D5CDD505-2E9C-101B-9397-08002B2CF9AE}" pid="3" name="MediaServiceImageTags">
    <vt:lpwstr/>
  </property>
</Properties>
</file>